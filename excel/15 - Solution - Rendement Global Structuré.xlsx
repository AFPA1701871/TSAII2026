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pa365-my.sharepoint.com/personal/1701871_afpa_fr/Documents/Documents/Mes Cours/Excel/"/>
    </mc:Choice>
  </mc:AlternateContent>
  <xr:revisionPtr revIDLastSave="4" documentId="8_{6A9D995D-096B-49B0-A19B-AC3FFD4AF85E}" xr6:coauthVersionLast="47" xr6:coauthVersionMax="47" xr10:uidLastSave="{1B90CF9F-E369-408A-A434-95FD48B86C50}"/>
  <bookViews>
    <workbookView xWindow="-108" yWindow="-108" windowWidth="23256" windowHeight="12456" activeTab="2" xr2:uid="{F5396F8F-3E81-4EE2-8FDA-F8450D4BF32E}"/>
  </bookViews>
  <sheets>
    <sheet name="Avec recopie" sheetId="1" r:id="rId1"/>
    <sheet name="Avec données globales" sheetId="2" r:id="rId2"/>
    <sheet name="Avec tableau structuré" sheetId="4" r:id="rId3"/>
  </sheets>
  <definedNames>
    <definedName name="tpsFonctPrevu">'Avec tableau structuré'!$G$3</definedName>
    <definedName name="vitesseTheorique">'Avec tableau structuré'!$G$4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3" i="4" l="1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J342" i="4" s="1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J286" i="4" s="1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J166" i="4" s="1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J142" i="4" s="1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J94" i="4" s="1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I8" i="4"/>
  <c r="I9" i="4"/>
  <c r="I10" i="4"/>
  <c r="I372" i="4"/>
  <c r="I371" i="4"/>
  <c r="I368" i="4"/>
  <c r="I367" i="4"/>
  <c r="I364" i="4"/>
  <c r="I363" i="4"/>
  <c r="I362" i="4"/>
  <c r="I360" i="4"/>
  <c r="I359" i="4"/>
  <c r="I358" i="4"/>
  <c r="I356" i="4"/>
  <c r="I355" i="4"/>
  <c r="I354" i="4"/>
  <c r="I352" i="4"/>
  <c r="I351" i="4"/>
  <c r="I350" i="4"/>
  <c r="I348" i="4"/>
  <c r="I347" i="4"/>
  <c r="I344" i="4"/>
  <c r="I343" i="4"/>
  <c r="I342" i="4"/>
  <c r="I340" i="4"/>
  <c r="I339" i="4"/>
  <c r="I336" i="4"/>
  <c r="I335" i="4"/>
  <c r="I334" i="4"/>
  <c r="I332" i="4"/>
  <c r="I331" i="4"/>
  <c r="I328" i="4"/>
  <c r="I327" i="4"/>
  <c r="I326" i="4"/>
  <c r="I324" i="4"/>
  <c r="I323" i="4"/>
  <c r="I320" i="4"/>
  <c r="I319" i="4"/>
  <c r="I318" i="4"/>
  <c r="I316" i="4"/>
  <c r="I315" i="4"/>
  <c r="I312" i="4"/>
  <c r="I311" i="4"/>
  <c r="I310" i="4"/>
  <c r="J310" i="4"/>
  <c r="I308" i="4"/>
  <c r="I307" i="4"/>
  <c r="I304" i="4"/>
  <c r="I303" i="4"/>
  <c r="I302" i="4"/>
  <c r="I300" i="4"/>
  <c r="I299" i="4"/>
  <c r="I296" i="4"/>
  <c r="I295" i="4"/>
  <c r="I294" i="4"/>
  <c r="I292" i="4"/>
  <c r="I291" i="4"/>
  <c r="I288" i="4"/>
  <c r="I287" i="4"/>
  <c r="I286" i="4"/>
  <c r="I284" i="4"/>
  <c r="I283" i="4"/>
  <c r="I280" i="4"/>
  <c r="I279" i="4"/>
  <c r="I278" i="4"/>
  <c r="I276" i="4"/>
  <c r="I275" i="4"/>
  <c r="I272" i="4"/>
  <c r="I271" i="4"/>
  <c r="I270" i="4"/>
  <c r="I268" i="4"/>
  <c r="I267" i="4"/>
  <c r="I264" i="4"/>
  <c r="I263" i="4"/>
  <c r="I262" i="4"/>
  <c r="I260" i="4"/>
  <c r="I259" i="4"/>
  <c r="I256" i="4"/>
  <c r="I255" i="4"/>
  <c r="I254" i="4"/>
  <c r="I252" i="4"/>
  <c r="I251" i="4"/>
  <c r="I248" i="4"/>
  <c r="I247" i="4"/>
  <c r="I246" i="4"/>
  <c r="I244" i="4"/>
  <c r="I243" i="4"/>
  <c r="I240" i="4"/>
  <c r="I239" i="4"/>
  <c r="I238" i="4"/>
  <c r="J238" i="4"/>
  <c r="I236" i="4"/>
  <c r="I235" i="4"/>
  <c r="I232" i="4"/>
  <c r="I231" i="4"/>
  <c r="I230" i="4"/>
  <c r="I228" i="4"/>
  <c r="I227" i="4"/>
  <c r="I224" i="4"/>
  <c r="I223" i="4"/>
  <c r="I222" i="4"/>
  <c r="I220" i="4"/>
  <c r="I219" i="4"/>
  <c r="I216" i="4"/>
  <c r="I215" i="4"/>
  <c r="I214" i="4"/>
  <c r="I212" i="4"/>
  <c r="I211" i="4"/>
  <c r="I208" i="4"/>
  <c r="I207" i="4"/>
  <c r="I206" i="4"/>
  <c r="I204" i="4"/>
  <c r="I203" i="4"/>
  <c r="I200" i="4"/>
  <c r="I199" i="4"/>
  <c r="I198" i="4"/>
  <c r="I196" i="4"/>
  <c r="I195" i="4"/>
  <c r="I192" i="4"/>
  <c r="I191" i="4"/>
  <c r="I190" i="4"/>
  <c r="I188" i="4"/>
  <c r="I187" i="4"/>
  <c r="I184" i="4"/>
  <c r="I183" i="4"/>
  <c r="I182" i="4"/>
  <c r="I180" i="4"/>
  <c r="I179" i="4"/>
  <c r="I176" i="4"/>
  <c r="I175" i="4"/>
  <c r="I174" i="4"/>
  <c r="I172" i="4"/>
  <c r="I171" i="4"/>
  <c r="I168" i="4"/>
  <c r="I167" i="4"/>
  <c r="I166" i="4"/>
  <c r="I164" i="4"/>
  <c r="I163" i="4"/>
  <c r="I160" i="4"/>
  <c r="I159" i="4"/>
  <c r="I158" i="4"/>
  <c r="I156" i="4"/>
  <c r="I155" i="4"/>
  <c r="I152" i="4"/>
  <c r="I151" i="4"/>
  <c r="I150" i="4"/>
  <c r="I148" i="4"/>
  <c r="I147" i="4"/>
  <c r="I144" i="4"/>
  <c r="I143" i="4"/>
  <c r="I142" i="4"/>
  <c r="I140" i="4"/>
  <c r="I139" i="4"/>
  <c r="I136" i="4"/>
  <c r="I135" i="4"/>
  <c r="I134" i="4"/>
  <c r="I132" i="4"/>
  <c r="I131" i="4"/>
  <c r="I128" i="4"/>
  <c r="I127" i="4"/>
  <c r="I126" i="4"/>
  <c r="I124" i="4"/>
  <c r="I123" i="4"/>
  <c r="I120" i="4"/>
  <c r="I119" i="4"/>
  <c r="I118" i="4"/>
  <c r="I115" i="4"/>
  <c r="I111" i="4"/>
  <c r="I110" i="4"/>
  <c r="I107" i="4"/>
  <c r="I103" i="4"/>
  <c r="I102" i="4"/>
  <c r="I99" i="4"/>
  <c r="I95" i="4"/>
  <c r="I94" i="4"/>
  <c r="I91" i="4"/>
  <c r="I87" i="4"/>
  <c r="I86" i="4"/>
  <c r="I83" i="4"/>
  <c r="I79" i="4"/>
  <c r="I78" i="4"/>
  <c r="I77" i="4"/>
  <c r="I75" i="4"/>
  <c r="I73" i="4"/>
  <c r="I71" i="4"/>
  <c r="I70" i="4"/>
  <c r="I69" i="4"/>
  <c r="I67" i="4"/>
  <c r="I63" i="4"/>
  <c r="I59" i="4"/>
  <c r="I55" i="4"/>
  <c r="I51" i="4"/>
  <c r="I47" i="4"/>
  <c r="I43" i="4"/>
  <c r="I39" i="4"/>
  <c r="I35" i="4"/>
  <c r="I31" i="4"/>
  <c r="I27" i="4"/>
  <c r="I23" i="4"/>
  <c r="I19" i="4"/>
  <c r="I15" i="4"/>
  <c r="I11" i="4"/>
  <c r="I8" i="2"/>
  <c r="H9" i="2"/>
  <c r="H10" i="2"/>
  <c r="H8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I10" i="2"/>
  <c r="I9" i="2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I9" i="1"/>
  <c r="I11" i="1"/>
  <c r="J9" i="1"/>
  <c r="J10" i="1"/>
  <c r="J11" i="1"/>
  <c r="J12" i="1"/>
  <c r="J13" i="1"/>
  <c r="J14" i="1"/>
  <c r="J8" i="1"/>
  <c r="K6" i="1"/>
  <c r="K7" i="1"/>
  <c r="J6" i="1"/>
  <c r="J7" i="1"/>
  <c r="K5" i="1"/>
  <c r="J5" i="1"/>
  <c r="J102" i="4" l="1"/>
  <c r="J350" i="4"/>
  <c r="J362" i="4"/>
  <c r="J174" i="4"/>
  <c r="J318" i="4"/>
  <c r="J354" i="4"/>
  <c r="J159" i="4"/>
  <c r="J110" i="4"/>
  <c r="J134" i="4"/>
  <c r="J182" i="4"/>
  <c r="J206" i="4"/>
  <c r="J254" i="4"/>
  <c r="J287" i="4"/>
  <c r="J294" i="4"/>
  <c r="J323" i="4"/>
  <c r="J326" i="4"/>
  <c r="J358" i="4"/>
  <c r="J86" i="4"/>
  <c r="J118" i="4"/>
  <c r="J126" i="4"/>
  <c r="J190" i="4"/>
  <c r="J198" i="4"/>
  <c r="J230" i="4"/>
  <c r="J246" i="4"/>
  <c r="J295" i="4"/>
  <c r="J302" i="4"/>
  <c r="J334" i="4"/>
  <c r="I81" i="4"/>
  <c r="I85" i="4"/>
  <c r="I89" i="4"/>
  <c r="I93" i="4"/>
  <c r="I97" i="4"/>
  <c r="I101" i="4"/>
  <c r="I105" i="4"/>
  <c r="I109" i="4"/>
  <c r="I113" i="4"/>
  <c r="I117" i="4"/>
  <c r="J167" i="4"/>
  <c r="J223" i="4"/>
  <c r="J231" i="4"/>
  <c r="J343" i="4"/>
  <c r="J127" i="4"/>
  <c r="J147" i="4"/>
  <c r="J163" i="4"/>
  <c r="J175" i="4"/>
  <c r="J183" i="4"/>
  <c r="J191" i="4"/>
  <c r="J211" i="4"/>
  <c r="J227" i="4"/>
  <c r="J263" i="4"/>
  <c r="J275" i="4"/>
  <c r="J291" i="4"/>
  <c r="J303" i="4"/>
  <c r="J311" i="4"/>
  <c r="J319" i="4"/>
  <c r="J327" i="4"/>
  <c r="J339" i="4"/>
  <c r="J123" i="4"/>
  <c r="J151" i="4"/>
  <c r="J179" i="4"/>
  <c r="J207" i="4"/>
  <c r="J215" i="4"/>
  <c r="J271" i="4"/>
  <c r="J279" i="4"/>
  <c r="J307" i="4"/>
  <c r="J335" i="4"/>
  <c r="J348" i="4"/>
  <c r="J360" i="4"/>
  <c r="J364" i="4"/>
  <c r="I366" i="4"/>
  <c r="J366" i="4" s="1"/>
  <c r="I370" i="4"/>
  <c r="J370" i="4" s="1"/>
  <c r="J9" i="4"/>
  <c r="J11" i="4"/>
  <c r="I12" i="4"/>
  <c r="J15" i="4"/>
  <c r="I16" i="4"/>
  <c r="J19" i="4"/>
  <c r="I20" i="4"/>
  <c r="J23" i="4"/>
  <c r="I24" i="4"/>
  <c r="J27" i="4"/>
  <c r="I28" i="4"/>
  <c r="J31" i="4"/>
  <c r="I32" i="4"/>
  <c r="J35" i="4"/>
  <c r="I36" i="4"/>
  <c r="J39" i="4"/>
  <c r="I40" i="4"/>
  <c r="J43" i="4"/>
  <c r="I44" i="4"/>
  <c r="J47" i="4"/>
  <c r="I48" i="4"/>
  <c r="J51" i="4"/>
  <c r="I52" i="4"/>
  <c r="J55" i="4"/>
  <c r="I56" i="4"/>
  <c r="J59" i="4"/>
  <c r="I60" i="4"/>
  <c r="J63" i="4"/>
  <c r="I64" i="4"/>
  <c r="J67" i="4"/>
  <c r="I68" i="4"/>
  <c r="J71" i="4"/>
  <c r="I72" i="4"/>
  <c r="J75" i="4"/>
  <c r="I76" i="4"/>
  <c r="J79" i="4"/>
  <c r="I80" i="4"/>
  <c r="J83" i="4"/>
  <c r="I84" i="4"/>
  <c r="J87" i="4"/>
  <c r="I88" i="4"/>
  <c r="J91" i="4"/>
  <c r="I92" i="4"/>
  <c r="J95" i="4"/>
  <c r="I96" i="4"/>
  <c r="J99" i="4"/>
  <c r="I100" i="4"/>
  <c r="J103" i="4"/>
  <c r="I104" i="4"/>
  <c r="J107" i="4"/>
  <c r="I108" i="4"/>
  <c r="J111" i="4"/>
  <c r="I112" i="4"/>
  <c r="J115" i="4"/>
  <c r="I116" i="4"/>
  <c r="J119" i="4"/>
  <c r="J155" i="4"/>
  <c r="J171" i="4"/>
  <c r="J187" i="4"/>
  <c r="J219" i="4"/>
  <c r="J235" i="4"/>
  <c r="J267" i="4"/>
  <c r="J283" i="4"/>
  <c r="J299" i="4"/>
  <c r="J315" i="4"/>
  <c r="J331" i="4"/>
  <c r="J347" i="4"/>
  <c r="J351" i="4"/>
  <c r="J355" i="4"/>
  <c r="J359" i="4"/>
  <c r="J363" i="4"/>
  <c r="J367" i="4"/>
  <c r="J371" i="4"/>
  <c r="I121" i="4"/>
  <c r="I125" i="4"/>
  <c r="I157" i="4"/>
  <c r="I161" i="4"/>
  <c r="I165" i="4"/>
  <c r="I189" i="4"/>
  <c r="I193" i="4"/>
  <c r="I197" i="4"/>
  <c r="I205" i="4"/>
  <c r="I209" i="4"/>
  <c r="I213" i="4"/>
  <c r="I217" i="4"/>
  <c r="I221" i="4"/>
  <c r="I225" i="4"/>
  <c r="I229" i="4"/>
  <c r="I233" i="4"/>
  <c r="I237" i="4"/>
  <c r="I241" i="4"/>
  <c r="I245" i="4"/>
  <c r="I249" i="4"/>
  <c r="I253" i="4"/>
  <c r="I257" i="4"/>
  <c r="I261" i="4"/>
  <c r="I265" i="4"/>
  <c r="I269" i="4"/>
  <c r="I273" i="4"/>
  <c r="I277" i="4"/>
  <c r="I281" i="4"/>
  <c r="I285" i="4"/>
  <c r="I289" i="4"/>
  <c r="I293" i="4"/>
  <c r="I297" i="4"/>
  <c r="I301" i="4"/>
  <c r="I305" i="4"/>
  <c r="I309" i="4"/>
  <c r="I313" i="4"/>
  <c r="I317" i="4"/>
  <c r="I321" i="4"/>
  <c r="I325" i="4"/>
  <c r="I353" i="4"/>
  <c r="I357" i="4"/>
  <c r="I361" i="4"/>
  <c r="I365" i="4"/>
  <c r="I369" i="4"/>
  <c r="I373" i="4"/>
  <c r="I74" i="4"/>
  <c r="J74" i="4" s="1"/>
  <c r="I82" i="4"/>
  <c r="J82" i="4" s="1"/>
  <c r="I90" i="4"/>
  <c r="J90" i="4" s="1"/>
  <c r="I98" i="4"/>
  <c r="J98" i="4" s="1"/>
  <c r="I106" i="4"/>
  <c r="J106" i="4" s="1"/>
  <c r="I114" i="4"/>
  <c r="J114" i="4" s="1"/>
  <c r="I122" i="4"/>
  <c r="J122" i="4" s="1"/>
  <c r="I130" i="4"/>
  <c r="J130" i="4" s="1"/>
  <c r="I138" i="4"/>
  <c r="J138" i="4" s="1"/>
  <c r="I146" i="4"/>
  <c r="J146" i="4" s="1"/>
  <c r="I154" i="4"/>
  <c r="J154" i="4" s="1"/>
  <c r="I162" i="4"/>
  <c r="J162" i="4" s="1"/>
  <c r="I170" i="4"/>
  <c r="J170" i="4" s="1"/>
  <c r="I178" i="4"/>
  <c r="J178" i="4" s="1"/>
  <c r="I186" i="4"/>
  <c r="J186" i="4" s="1"/>
  <c r="I194" i="4"/>
  <c r="J194" i="4" s="1"/>
  <c r="I202" i="4"/>
  <c r="J202" i="4" s="1"/>
  <c r="I210" i="4"/>
  <c r="J210" i="4" s="1"/>
  <c r="I218" i="4"/>
  <c r="J218" i="4" s="1"/>
  <c r="I226" i="4"/>
  <c r="J226" i="4" s="1"/>
  <c r="I234" i="4"/>
  <c r="J234" i="4" s="1"/>
  <c r="I242" i="4"/>
  <c r="J242" i="4" s="1"/>
  <c r="I250" i="4"/>
  <c r="J250" i="4" s="1"/>
  <c r="I258" i="4"/>
  <c r="J258" i="4" s="1"/>
  <c r="I266" i="4"/>
  <c r="J266" i="4" s="1"/>
  <c r="I274" i="4"/>
  <c r="J274" i="4" s="1"/>
  <c r="I282" i="4"/>
  <c r="J282" i="4" s="1"/>
  <c r="I290" i="4"/>
  <c r="J290" i="4" s="1"/>
  <c r="I298" i="4"/>
  <c r="J298" i="4" s="1"/>
  <c r="I306" i="4"/>
  <c r="J306" i="4" s="1"/>
  <c r="I314" i="4"/>
  <c r="J314" i="4" s="1"/>
  <c r="I322" i="4"/>
  <c r="J322" i="4" s="1"/>
  <c r="I330" i="4"/>
  <c r="J330" i="4" s="1"/>
  <c r="I338" i="4"/>
  <c r="J338" i="4" s="1"/>
  <c r="I346" i="4"/>
  <c r="J346" i="4" s="1"/>
  <c r="I13" i="4"/>
  <c r="I17" i="4"/>
  <c r="I21" i="4"/>
  <c r="I25" i="4"/>
  <c r="I29" i="4"/>
  <c r="I33" i="4"/>
  <c r="I37" i="4"/>
  <c r="I41" i="4"/>
  <c r="I45" i="4"/>
  <c r="I49" i="4"/>
  <c r="I53" i="4"/>
  <c r="I57" i="4"/>
  <c r="I61" i="4"/>
  <c r="I65" i="4"/>
  <c r="I129" i="4"/>
  <c r="I133" i="4"/>
  <c r="I137" i="4"/>
  <c r="I141" i="4"/>
  <c r="I145" i="4"/>
  <c r="I149" i="4"/>
  <c r="I153" i="4"/>
  <c r="I169" i="4"/>
  <c r="I173" i="4"/>
  <c r="I177" i="4"/>
  <c r="I181" i="4"/>
  <c r="I185" i="4"/>
  <c r="I201" i="4"/>
  <c r="I329" i="4"/>
  <c r="I333" i="4"/>
  <c r="I337" i="4"/>
  <c r="I341" i="4"/>
  <c r="I345" i="4"/>
  <c r="I349" i="4"/>
  <c r="I14" i="4"/>
  <c r="I18" i="4"/>
  <c r="J18" i="4" s="1"/>
  <c r="I22" i="4"/>
  <c r="J25" i="4"/>
  <c r="I26" i="4"/>
  <c r="J26" i="4" s="1"/>
  <c r="I30" i="4"/>
  <c r="I34" i="4"/>
  <c r="J34" i="4" s="1"/>
  <c r="I38" i="4"/>
  <c r="J41" i="4"/>
  <c r="I42" i="4"/>
  <c r="J42" i="4" s="1"/>
  <c r="I46" i="4"/>
  <c r="I50" i="4"/>
  <c r="J50" i="4" s="1"/>
  <c r="I54" i="4"/>
  <c r="J57" i="4"/>
  <c r="I58" i="4"/>
  <c r="J58" i="4" s="1"/>
  <c r="I62" i="4"/>
  <c r="I66" i="4"/>
  <c r="J66" i="4" s="1"/>
  <c r="J69" i="4"/>
  <c r="J73" i="4"/>
  <c r="J77" i="4"/>
  <c r="J117" i="4"/>
  <c r="J125" i="4"/>
  <c r="J141" i="4"/>
  <c r="J157" i="4"/>
  <c r="J161" i="4"/>
  <c r="J181" i="4"/>
  <c r="J185" i="4"/>
  <c r="J189" i="4"/>
  <c r="J241" i="4"/>
  <c r="J257" i="4"/>
  <c r="J273" i="4"/>
  <c r="J373" i="4"/>
  <c r="J352" i="4"/>
  <c r="J356" i="4"/>
  <c r="J368" i="4"/>
  <c r="J372" i="4"/>
  <c r="J14" i="4"/>
  <c r="J46" i="4"/>
  <c r="J70" i="4"/>
  <c r="J78" i="4"/>
  <c r="J150" i="4"/>
  <c r="J158" i="4"/>
  <c r="J214" i="4"/>
  <c r="J222" i="4"/>
  <c r="J262" i="4"/>
  <c r="J270" i="4"/>
  <c r="J278" i="4"/>
  <c r="J361" i="4"/>
  <c r="J20" i="4"/>
  <c r="J36" i="4"/>
  <c r="J52" i="4"/>
  <c r="J68" i="4"/>
  <c r="J84" i="4"/>
  <c r="J100" i="4"/>
  <c r="J131" i="4"/>
  <c r="J132" i="4"/>
  <c r="J135" i="4"/>
  <c r="J136" i="4"/>
  <c r="J139" i="4"/>
  <c r="J140" i="4"/>
  <c r="J143" i="4"/>
  <c r="J144" i="4"/>
  <c r="J148" i="4"/>
  <c r="J152" i="4"/>
  <c r="J156" i="4"/>
  <c r="J160" i="4"/>
  <c r="J164" i="4"/>
  <c r="J168" i="4"/>
  <c r="J172" i="4"/>
  <c r="J176" i="4"/>
  <c r="J195" i="4"/>
  <c r="J196" i="4"/>
  <c r="J199" i="4"/>
  <c r="J200" i="4"/>
  <c r="J203" i="4"/>
  <c r="J204" i="4"/>
  <c r="J208" i="4"/>
  <c r="J212" i="4"/>
  <c r="J216" i="4"/>
  <c r="J220" i="4"/>
  <c r="J224" i="4"/>
  <c r="J236" i="4"/>
  <c r="J239" i="4"/>
  <c r="J240" i="4"/>
  <c r="J243" i="4"/>
  <c r="J244" i="4"/>
  <c r="J247" i="4"/>
  <c r="J248" i="4"/>
  <c r="J251" i="4"/>
  <c r="J252" i="4"/>
  <c r="J255" i="4"/>
  <c r="J256" i="4"/>
  <c r="J259" i="4"/>
  <c r="J260" i="4"/>
  <c r="J264" i="4"/>
  <c r="J268" i="4"/>
  <c r="J272" i="4"/>
  <c r="J276" i="4"/>
  <c r="J280" i="4"/>
  <c r="J284" i="4"/>
  <c r="J288" i="4"/>
  <c r="J292" i="4"/>
  <c r="J296" i="4"/>
  <c r="J300" i="4"/>
  <c r="J304" i="4"/>
  <c r="J308" i="4"/>
  <c r="J312" i="4"/>
  <c r="J316" i="4"/>
  <c r="J320" i="4"/>
  <c r="J324" i="4"/>
  <c r="J328" i="4"/>
  <c r="J332" i="4"/>
  <c r="J336" i="4"/>
  <c r="J340" i="4"/>
  <c r="J344" i="4"/>
  <c r="J8" i="4"/>
  <c r="J81" i="4"/>
  <c r="J85" i="4"/>
  <c r="J89" i="4"/>
  <c r="J101" i="4"/>
  <c r="J105" i="4"/>
  <c r="J120" i="4"/>
  <c r="J124" i="4"/>
  <c r="J128" i="4"/>
  <c r="J165" i="4"/>
  <c r="J169" i="4"/>
  <c r="J173" i="4"/>
  <c r="J177" i="4"/>
  <c r="J180" i="4"/>
  <c r="J184" i="4"/>
  <c r="J188" i="4"/>
  <c r="J192" i="4"/>
  <c r="J228" i="4"/>
  <c r="J232" i="4"/>
  <c r="J281" i="4"/>
  <c r="J285" i="4"/>
  <c r="J289" i="4"/>
  <c r="J293" i="4"/>
  <c r="J297" i="4"/>
  <c r="J301" i="4"/>
  <c r="J305" i="4"/>
  <c r="J309" i="4"/>
  <c r="J313" i="4"/>
  <c r="J317" i="4"/>
  <c r="J321" i="4"/>
  <c r="J325" i="4"/>
  <c r="J329" i="4"/>
  <c r="J333" i="4"/>
  <c r="J337" i="4"/>
  <c r="J341" i="4"/>
  <c r="J345" i="4"/>
  <c r="J10" i="4"/>
  <c r="I13" i="1"/>
  <c r="G10" i="2"/>
  <c r="J10" i="2" s="1"/>
  <c r="G12" i="2"/>
  <c r="G16" i="2"/>
  <c r="G20" i="2"/>
  <c r="G24" i="2"/>
  <c r="G28" i="2"/>
  <c r="G32" i="2"/>
  <c r="G36" i="2"/>
  <c r="G40" i="2"/>
  <c r="G44" i="2"/>
  <c r="G48" i="2"/>
  <c r="G52" i="2"/>
  <c r="G56" i="2"/>
  <c r="G60" i="2"/>
  <c r="G64" i="2"/>
  <c r="G68" i="2"/>
  <c r="G72" i="2"/>
  <c r="G76" i="2"/>
  <c r="G80" i="2"/>
  <c r="G84" i="2"/>
  <c r="G88" i="2"/>
  <c r="G92" i="2"/>
  <c r="G96" i="2"/>
  <c r="G100" i="2"/>
  <c r="G104" i="2"/>
  <c r="G108" i="2"/>
  <c r="G112" i="2"/>
  <c r="G116" i="2"/>
  <c r="G120" i="2"/>
  <c r="G124" i="2"/>
  <c r="G128" i="2"/>
  <c r="G132" i="2"/>
  <c r="G136" i="2"/>
  <c r="G140" i="2"/>
  <c r="G144" i="2"/>
  <c r="G148" i="2"/>
  <c r="G152" i="2"/>
  <c r="G156" i="2"/>
  <c r="G160" i="2"/>
  <c r="G164" i="2"/>
  <c r="G168" i="2"/>
  <c r="G172" i="2"/>
  <c r="G176" i="2"/>
  <c r="G180" i="2"/>
  <c r="G184" i="2"/>
  <c r="G188" i="2"/>
  <c r="G192" i="2"/>
  <c r="G196" i="2"/>
  <c r="G200" i="2"/>
  <c r="G204" i="2"/>
  <c r="G208" i="2"/>
  <c r="G212" i="2"/>
  <c r="G216" i="2"/>
  <c r="G220" i="2"/>
  <c r="G224" i="2"/>
  <c r="G228" i="2"/>
  <c r="G232" i="2"/>
  <c r="G236" i="2"/>
  <c r="G240" i="2"/>
  <c r="G244" i="2"/>
  <c r="G248" i="2"/>
  <c r="G252" i="2"/>
  <c r="G256" i="2"/>
  <c r="G260" i="2"/>
  <c r="G264" i="2"/>
  <c r="G268" i="2"/>
  <c r="G272" i="2"/>
  <c r="G276" i="2"/>
  <c r="G280" i="2"/>
  <c r="G284" i="2"/>
  <c r="G288" i="2"/>
  <c r="G292" i="2"/>
  <c r="G296" i="2"/>
  <c r="I297" i="2"/>
  <c r="G300" i="2"/>
  <c r="I301" i="2"/>
  <c r="G304" i="2"/>
  <c r="I305" i="2"/>
  <c r="G308" i="2"/>
  <c r="I309" i="2"/>
  <c r="G312" i="2"/>
  <c r="G316" i="2"/>
  <c r="G320" i="2"/>
  <c r="I321" i="2"/>
  <c r="G324" i="2"/>
  <c r="I325" i="2"/>
  <c r="G328" i="2"/>
  <c r="G332" i="2"/>
  <c r="I333" i="2"/>
  <c r="G336" i="2"/>
  <c r="I337" i="2"/>
  <c r="G340" i="2"/>
  <c r="I341" i="2"/>
  <c r="G344" i="2"/>
  <c r="G348" i="2"/>
  <c r="G352" i="2"/>
  <c r="I353" i="2"/>
  <c r="G356" i="2"/>
  <c r="I357" i="2"/>
  <c r="G360" i="2"/>
  <c r="G364" i="2"/>
  <c r="I365" i="2"/>
  <c r="G368" i="2"/>
  <c r="I369" i="2"/>
  <c r="G372" i="2"/>
  <c r="I7" i="1"/>
  <c r="L7" i="1" s="1"/>
  <c r="G14" i="2"/>
  <c r="G62" i="2"/>
  <c r="G78" i="2"/>
  <c r="G126" i="2"/>
  <c r="G142" i="2"/>
  <c r="G158" i="2"/>
  <c r="G174" i="2"/>
  <c r="G190" i="2"/>
  <c r="G206" i="2"/>
  <c r="G222" i="2"/>
  <c r="G238" i="2"/>
  <c r="G242" i="2"/>
  <c r="G254" i="2"/>
  <c r="G258" i="2"/>
  <c r="G270" i="2"/>
  <c r="G274" i="2"/>
  <c r="G286" i="2"/>
  <c r="G290" i="2"/>
  <c r="G13" i="2"/>
  <c r="G17" i="2"/>
  <c r="G21" i="2"/>
  <c r="G25" i="2"/>
  <c r="G29" i="2"/>
  <c r="G33" i="2"/>
  <c r="G37" i="2"/>
  <c r="G41" i="2"/>
  <c r="G45" i="2"/>
  <c r="G49" i="2"/>
  <c r="G53" i="2"/>
  <c r="G57" i="2"/>
  <c r="G61" i="2"/>
  <c r="G65" i="2"/>
  <c r="G69" i="2"/>
  <c r="G73" i="2"/>
  <c r="G77" i="2"/>
  <c r="G81" i="2"/>
  <c r="G85" i="2"/>
  <c r="G89" i="2"/>
  <c r="G93" i="2"/>
  <c r="G97" i="2"/>
  <c r="G101" i="2"/>
  <c r="G105" i="2"/>
  <c r="G109" i="2"/>
  <c r="G113" i="2"/>
  <c r="G117" i="2"/>
  <c r="G121" i="2"/>
  <c r="G125" i="2"/>
  <c r="G129" i="2"/>
  <c r="G133" i="2"/>
  <c r="G137" i="2"/>
  <c r="G141" i="2"/>
  <c r="G145" i="2"/>
  <c r="G149" i="2"/>
  <c r="G153" i="2"/>
  <c r="G157" i="2"/>
  <c r="G161" i="2"/>
  <c r="G165" i="2"/>
  <c r="G169" i="2"/>
  <c r="G173" i="2"/>
  <c r="G177" i="2"/>
  <c r="G181" i="2"/>
  <c r="G185" i="2"/>
  <c r="G189" i="2"/>
  <c r="G193" i="2"/>
  <c r="G197" i="2"/>
  <c r="G201" i="2"/>
  <c r="G205" i="2"/>
  <c r="G209" i="2"/>
  <c r="G213" i="2"/>
  <c r="G217" i="2"/>
  <c r="G221" i="2"/>
  <c r="G225" i="2"/>
  <c r="G229" i="2"/>
  <c r="G233" i="2"/>
  <c r="G237" i="2"/>
  <c r="G241" i="2"/>
  <c r="G30" i="2"/>
  <c r="G46" i="2"/>
  <c r="G94" i="2"/>
  <c r="G110" i="2"/>
  <c r="G349" i="2"/>
  <c r="G353" i="2"/>
  <c r="G357" i="2"/>
  <c r="G361" i="2"/>
  <c r="G365" i="2"/>
  <c r="G369" i="2"/>
  <c r="J369" i="2" s="1"/>
  <c r="G11" i="2"/>
  <c r="G15" i="2"/>
  <c r="G23" i="2"/>
  <c r="G27" i="2"/>
  <c r="G31" i="2"/>
  <c r="G39" i="2"/>
  <c r="G43" i="2"/>
  <c r="G47" i="2"/>
  <c r="G55" i="2"/>
  <c r="G59" i="2"/>
  <c r="G63" i="2"/>
  <c r="G71" i="2"/>
  <c r="G75" i="2"/>
  <c r="G79" i="2"/>
  <c r="G87" i="2"/>
  <c r="G91" i="2"/>
  <c r="G95" i="2"/>
  <c r="G103" i="2"/>
  <c r="G107" i="2"/>
  <c r="G111" i="2"/>
  <c r="G119" i="2"/>
  <c r="G123" i="2"/>
  <c r="G127" i="2"/>
  <c r="G135" i="2"/>
  <c r="G139" i="2"/>
  <c r="G143" i="2"/>
  <c r="G147" i="2"/>
  <c r="G151" i="2"/>
  <c r="G155" i="2"/>
  <c r="G159" i="2"/>
  <c r="G163" i="2"/>
  <c r="G167" i="2"/>
  <c r="G171" i="2"/>
  <c r="G175" i="2"/>
  <c r="G179" i="2"/>
  <c r="G183" i="2"/>
  <c r="G187" i="2"/>
  <c r="G191" i="2"/>
  <c r="G195" i="2"/>
  <c r="G199" i="2"/>
  <c r="G203" i="2"/>
  <c r="G207" i="2"/>
  <c r="G211" i="2"/>
  <c r="G215" i="2"/>
  <c r="G219" i="2"/>
  <c r="G223" i="2"/>
  <c r="G227" i="2"/>
  <c r="G231" i="2"/>
  <c r="G235" i="2"/>
  <c r="G239" i="2"/>
  <c r="G243" i="2"/>
  <c r="G247" i="2"/>
  <c r="G251" i="2"/>
  <c r="G255" i="2"/>
  <c r="G259" i="2"/>
  <c r="G263" i="2"/>
  <c r="G267" i="2"/>
  <c r="G271" i="2"/>
  <c r="G275" i="2"/>
  <c r="G279" i="2"/>
  <c r="G283" i="2"/>
  <c r="G287" i="2"/>
  <c r="G291" i="2"/>
  <c r="G295" i="2"/>
  <c r="G299" i="2"/>
  <c r="G303" i="2"/>
  <c r="G307" i="2"/>
  <c r="G311" i="2"/>
  <c r="G315" i="2"/>
  <c r="G319" i="2"/>
  <c r="G323" i="2"/>
  <c r="G327" i="2"/>
  <c r="G331" i="2"/>
  <c r="G335" i="2"/>
  <c r="G339" i="2"/>
  <c r="G343" i="2"/>
  <c r="G347" i="2"/>
  <c r="G351" i="2"/>
  <c r="G355" i="2"/>
  <c r="G359" i="2"/>
  <c r="G363" i="2"/>
  <c r="G367" i="2"/>
  <c r="G371" i="2"/>
  <c r="G67" i="2"/>
  <c r="G115" i="2"/>
  <c r="G35" i="2"/>
  <c r="G83" i="2"/>
  <c r="G131" i="2"/>
  <c r="G245" i="2"/>
  <c r="G249" i="2"/>
  <c r="G253" i="2"/>
  <c r="G257" i="2"/>
  <c r="G261" i="2"/>
  <c r="G265" i="2"/>
  <c r="G269" i="2"/>
  <c r="G273" i="2"/>
  <c r="G277" i="2"/>
  <c r="G281" i="2"/>
  <c r="G285" i="2"/>
  <c r="G289" i="2"/>
  <c r="G293" i="2"/>
  <c r="I294" i="2"/>
  <c r="G19" i="2"/>
  <c r="G51" i="2"/>
  <c r="G99" i="2"/>
  <c r="G18" i="2"/>
  <c r="G22" i="2"/>
  <c r="G26" i="2"/>
  <c r="G34" i="2"/>
  <c r="G38" i="2"/>
  <c r="G42" i="2"/>
  <c r="G50" i="2"/>
  <c r="G54" i="2"/>
  <c r="G58" i="2"/>
  <c r="G66" i="2"/>
  <c r="G70" i="2"/>
  <c r="G74" i="2"/>
  <c r="G82" i="2"/>
  <c r="G86" i="2"/>
  <c r="G90" i="2"/>
  <c r="G98" i="2"/>
  <c r="G102" i="2"/>
  <c r="G106" i="2"/>
  <c r="G114" i="2"/>
  <c r="G118" i="2"/>
  <c r="G122" i="2"/>
  <c r="G130" i="2"/>
  <c r="G134" i="2"/>
  <c r="G138" i="2"/>
  <c r="G298" i="2"/>
  <c r="G302" i="2"/>
  <c r="G306" i="2"/>
  <c r="G310" i="2"/>
  <c r="G314" i="2"/>
  <c r="G318" i="2"/>
  <c r="G322" i="2"/>
  <c r="G326" i="2"/>
  <c r="G330" i="2"/>
  <c r="G334" i="2"/>
  <c r="G338" i="2"/>
  <c r="G342" i="2"/>
  <c r="G346" i="2"/>
  <c r="G350" i="2"/>
  <c r="G354" i="2"/>
  <c r="G358" i="2"/>
  <c r="G362" i="2"/>
  <c r="G366" i="2"/>
  <c r="G370" i="2"/>
  <c r="G373" i="2"/>
  <c r="G146" i="2"/>
  <c r="G150" i="2"/>
  <c r="G154" i="2"/>
  <c r="G162" i="2"/>
  <c r="G166" i="2"/>
  <c r="G170" i="2"/>
  <c r="G178" i="2"/>
  <c r="G182" i="2"/>
  <c r="G186" i="2"/>
  <c r="G194" i="2"/>
  <c r="G198" i="2"/>
  <c r="G202" i="2"/>
  <c r="G210" i="2"/>
  <c r="G214" i="2"/>
  <c r="G218" i="2"/>
  <c r="G226" i="2"/>
  <c r="G230" i="2"/>
  <c r="G234" i="2"/>
  <c r="G246" i="2"/>
  <c r="G250" i="2"/>
  <c r="G262" i="2"/>
  <c r="G266" i="2"/>
  <c r="G278" i="2"/>
  <c r="G282" i="2"/>
  <c r="G294" i="2"/>
  <c r="J294" i="2" s="1"/>
  <c r="G8" i="2"/>
  <c r="J8" i="2" s="1"/>
  <c r="G9" i="2"/>
  <c r="J9" i="2" s="1"/>
  <c r="I139" i="2"/>
  <c r="J139" i="2" s="1"/>
  <c r="G297" i="2"/>
  <c r="J297" i="2" s="1"/>
  <c r="G301" i="2"/>
  <c r="G305" i="2"/>
  <c r="G309" i="2"/>
  <c r="G313" i="2"/>
  <c r="G317" i="2"/>
  <c r="G321" i="2"/>
  <c r="J321" i="2" s="1"/>
  <c r="G325" i="2"/>
  <c r="G329" i="2"/>
  <c r="G333" i="2"/>
  <c r="G337" i="2"/>
  <c r="G341" i="2"/>
  <c r="J341" i="2" s="1"/>
  <c r="G345" i="2"/>
  <c r="I288" i="2"/>
  <c r="I292" i="2"/>
  <c r="I311" i="2"/>
  <c r="I315" i="2"/>
  <c r="I319" i="2"/>
  <c r="I327" i="2"/>
  <c r="I331" i="2"/>
  <c r="I343" i="2"/>
  <c r="I347" i="2"/>
  <c r="I351" i="2"/>
  <c r="I359" i="2"/>
  <c r="I363" i="2"/>
  <c r="I332" i="2"/>
  <c r="I111" i="1"/>
  <c r="I83" i="1"/>
  <c r="I161" i="2"/>
  <c r="I368" i="2"/>
  <c r="I372" i="2"/>
  <c r="I178" i="1"/>
  <c r="I208" i="2"/>
  <c r="I211" i="2"/>
  <c r="I13" i="2"/>
  <c r="I17" i="2"/>
  <c r="I25" i="2"/>
  <c r="I163" i="2"/>
  <c r="J163" i="2" s="1"/>
  <c r="I186" i="2"/>
  <c r="I195" i="2"/>
  <c r="I203" i="2"/>
  <c r="I207" i="2"/>
  <c r="I226" i="2"/>
  <c r="I227" i="2"/>
  <c r="I246" i="2"/>
  <c r="I262" i="2"/>
  <c r="K167" i="1"/>
  <c r="K47" i="1"/>
  <c r="I19" i="2"/>
  <c r="I23" i="2"/>
  <c r="J23" i="2" s="1"/>
  <c r="I27" i="2"/>
  <c r="I35" i="2"/>
  <c r="I39" i="2"/>
  <c r="I43" i="2"/>
  <c r="J43" i="2" s="1"/>
  <c r="I47" i="2"/>
  <c r="I51" i="2"/>
  <c r="I55" i="2"/>
  <c r="I59" i="2"/>
  <c r="I63" i="2"/>
  <c r="I67" i="2"/>
  <c r="I71" i="2"/>
  <c r="I75" i="2"/>
  <c r="I79" i="2"/>
  <c r="I83" i="2"/>
  <c r="I244" i="2"/>
  <c r="I269" i="1"/>
  <c r="I123" i="2"/>
  <c r="I126" i="2"/>
  <c r="I215" i="2"/>
  <c r="I249" i="2"/>
  <c r="I282" i="2"/>
  <c r="I336" i="2"/>
  <c r="I340" i="2"/>
  <c r="K368" i="1"/>
  <c r="I192" i="1"/>
  <c r="I117" i="2"/>
  <c r="I155" i="2"/>
  <c r="I158" i="2"/>
  <c r="I213" i="2"/>
  <c r="I243" i="2"/>
  <c r="I247" i="2"/>
  <c r="I251" i="2"/>
  <c r="I254" i="2"/>
  <c r="I258" i="2"/>
  <c r="I265" i="2"/>
  <c r="I272" i="2"/>
  <c r="I275" i="2"/>
  <c r="I276" i="2"/>
  <c r="K228" i="1"/>
  <c r="K32" i="1"/>
  <c r="I30" i="2"/>
  <c r="I38" i="2"/>
  <c r="I42" i="2"/>
  <c r="I46" i="2"/>
  <c r="I50" i="2"/>
  <c r="I54" i="2"/>
  <c r="I58" i="2"/>
  <c r="I62" i="2"/>
  <c r="I66" i="2"/>
  <c r="I70" i="2"/>
  <c r="I74" i="2"/>
  <c r="I78" i="2"/>
  <c r="I82" i="2"/>
  <c r="I86" i="2"/>
  <c r="I90" i="2"/>
  <c r="I94" i="2"/>
  <c r="I98" i="2"/>
  <c r="I102" i="2"/>
  <c r="I131" i="2"/>
  <c r="I159" i="2"/>
  <c r="I209" i="2"/>
  <c r="I212" i="2"/>
  <c r="I219" i="2"/>
  <c r="I222" i="2"/>
  <c r="I234" i="2"/>
  <c r="I237" i="2"/>
  <c r="I261" i="2"/>
  <c r="I271" i="2"/>
  <c r="I278" i="2"/>
  <c r="I279" i="2"/>
  <c r="I286" i="2"/>
  <c r="I303" i="2"/>
  <c r="I304" i="2"/>
  <c r="I308" i="2"/>
  <c r="I312" i="2"/>
  <c r="I316" i="2"/>
  <c r="I335" i="2"/>
  <c r="I344" i="2"/>
  <c r="I348" i="2"/>
  <c r="I367" i="2"/>
  <c r="I364" i="2"/>
  <c r="I11" i="2"/>
  <c r="I12" i="2"/>
  <c r="I16" i="2"/>
  <c r="I20" i="2"/>
  <c r="I28" i="2"/>
  <c r="I32" i="2"/>
  <c r="I36" i="2"/>
  <c r="I111" i="2"/>
  <c r="I114" i="2"/>
  <c r="I143" i="2"/>
  <c r="I188" i="2"/>
  <c r="I217" i="2"/>
  <c r="I223" i="2"/>
  <c r="I224" i="2"/>
  <c r="I239" i="2"/>
  <c r="I245" i="2"/>
  <c r="I255" i="2"/>
  <c r="I273" i="2"/>
  <c r="I277" i="2"/>
  <c r="I284" i="2"/>
  <c r="I287" i="2"/>
  <c r="K114" i="1"/>
  <c r="I15" i="2"/>
  <c r="I173" i="2"/>
  <c r="K279" i="1"/>
  <c r="I31" i="2"/>
  <c r="I142" i="2"/>
  <c r="I145" i="2"/>
  <c r="K254" i="1"/>
  <c r="K157" i="1"/>
  <c r="K121" i="1"/>
  <c r="I57" i="1"/>
  <c r="I14" i="2"/>
  <c r="I22" i="2"/>
  <c r="I26" i="2"/>
  <c r="I29" i="2"/>
  <c r="I33" i="2"/>
  <c r="I41" i="2"/>
  <c r="I45" i="2"/>
  <c r="I49" i="2"/>
  <c r="I53" i="2"/>
  <c r="I57" i="2"/>
  <c r="I61" i="2"/>
  <c r="I65" i="2"/>
  <c r="I69" i="2"/>
  <c r="I73" i="2"/>
  <c r="I77" i="2"/>
  <c r="I81" i="2"/>
  <c r="I85" i="2"/>
  <c r="I89" i="2"/>
  <c r="I93" i="2"/>
  <c r="I97" i="2"/>
  <c r="I101" i="2"/>
  <c r="I115" i="2"/>
  <c r="I183" i="2"/>
  <c r="I187" i="2"/>
  <c r="I229" i="2"/>
  <c r="I233" i="2"/>
  <c r="I260" i="2"/>
  <c r="I263" i="2"/>
  <c r="I267" i="2"/>
  <c r="I270" i="2"/>
  <c r="I129" i="2"/>
  <c r="I174" i="2"/>
  <c r="I177" i="2"/>
  <c r="I181" i="2"/>
  <c r="I202" i="2"/>
  <c r="I218" i="2"/>
  <c r="I230" i="2"/>
  <c r="I242" i="2"/>
  <c r="I373" i="2"/>
  <c r="I87" i="2"/>
  <c r="I91" i="2"/>
  <c r="I95" i="2"/>
  <c r="I99" i="2"/>
  <c r="I103" i="2"/>
  <c r="I110" i="2"/>
  <c r="I113" i="2"/>
  <c r="I127" i="2"/>
  <c r="I147" i="2"/>
  <c r="I175" i="2"/>
  <c r="I178" i="2"/>
  <c r="I196" i="2"/>
  <c r="I199" i="2"/>
  <c r="I200" i="2"/>
  <c r="I204" i="2"/>
  <c r="I216" i="2"/>
  <c r="I231" i="2"/>
  <c r="I232" i="2"/>
  <c r="I235" i="2"/>
  <c r="I238" i="2"/>
  <c r="I240" i="2"/>
  <c r="I250" i="2"/>
  <c r="I256" i="2"/>
  <c r="I259" i="2"/>
  <c r="I266" i="2"/>
  <c r="I274" i="2"/>
  <c r="I283" i="2"/>
  <c r="I289" i="2"/>
  <c r="I300" i="2"/>
  <c r="I328" i="2"/>
  <c r="I360" i="2"/>
  <c r="I333" i="1"/>
  <c r="I71" i="1"/>
  <c r="I15" i="1"/>
  <c r="I325" i="1"/>
  <c r="K246" i="1"/>
  <c r="I214" i="1"/>
  <c r="I59" i="1"/>
  <c r="I56" i="1"/>
  <c r="K27" i="1"/>
  <c r="I26" i="1"/>
  <c r="I106" i="2"/>
  <c r="I146" i="2"/>
  <c r="I149" i="2"/>
  <c r="I105" i="1"/>
  <c r="I105" i="2"/>
  <c r="I162" i="2"/>
  <c r="I165" i="2"/>
  <c r="I331" i="1"/>
  <c r="K304" i="1"/>
  <c r="K284" i="1"/>
  <c r="K217" i="1"/>
  <c r="K176" i="1"/>
  <c r="I48" i="1"/>
  <c r="I18" i="2"/>
  <c r="I21" i="2"/>
  <c r="I24" i="2"/>
  <c r="I34" i="2"/>
  <c r="I37" i="2"/>
  <c r="I40" i="2"/>
  <c r="I44" i="2"/>
  <c r="I48" i="2"/>
  <c r="I52" i="2"/>
  <c r="I56" i="2"/>
  <c r="I60" i="2"/>
  <c r="I64" i="2"/>
  <c r="I68" i="2"/>
  <c r="I72" i="2"/>
  <c r="I76" i="2"/>
  <c r="I80" i="2"/>
  <c r="I84" i="2"/>
  <c r="I88" i="2"/>
  <c r="I92" i="2"/>
  <c r="I96" i="2"/>
  <c r="I100" i="2"/>
  <c r="I107" i="2"/>
  <c r="I130" i="2"/>
  <c r="I133" i="2"/>
  <c r="I171" i="2"/>
  <c r="I118" i="2"/>
  <c r="I121" i="2"/>
  <c r="I134" i="2"/>
  <c r="I137" i="2"/>
  <c r="I150" i="2"/>
  <c r="I153" i="2"/>
  <c r="I166" i="2"/>
  <c r="I169" i="2"/>
  <c r="I206" i="2"/>
  <c r="I214" i="2"/>
  <c r="I109" i="2"/>
  <c r="I119" i="2"/>
  <c r="I122" i="2"/>
  <c r="I125" i="2"/>
  <c r="I135" i="2"/>
  <c r="I138" i="2"/>
  <c r="I141" i="2"/>
  <c r="I151" i="2"/>
  <c r="I154" i="2"/>
  <c r="I157" i="2"/>
  <c r="I167" i="2"/>
  <c r="I170" i="2"/>
  <c r="I190" i="2"/>
  <c r="I191" i="2"/>
  <c r="I194" i="2"/>
  <c r="I221" i="2"/>
  <c r="I228" i="2"/>
  <c r="I281" i="2"/>
  <c r="I293" i="2"/>
  <c r="I317" i="2"/>
  <c r="I320" i="2"/>
  <c r="I324" i="2"/>
  <c r="I349" i="2"/>
  <c r="I352" i="2"/>
  <c r="I356" i="2"/>
  <c r="I179" i="2"/>
  <c r="I182" i="2"/>
  <c r="I185" i="2"/>
  <c r="I192" i="2"/>
  <c r="I198" i="2"/>
  <c r="I205" i="2"/>
  <c r="I210" i="2"/>
  <c r="I220" i="2"/>
  <c r="I225" i="2"/>
  <c r="I236" i="2"/>
  <c r="I241" i="2"/>
  <c r="I252" i="2"/>
  <c r="I257" i="2"/>
  <c r="I268" i="2"/>
  <c r="I248" i="2"/>
  <c r="I253" i="2"/>
  <c r="I264" i="2"/>
  <c r="I269" i="2"/>
  <c r="I280" i="2"/>
  <c r="I285" i="2"/>
  <c r="I296" i="2"/>
  <c r="I298" i="2"/>
  <c r="I307" i="2"/>
  <c r="I313" i="2"/>
  <c r="I323" i="2"/>
  <c r="I329" i="2"/>
  <c r="I339" i="2"/>
  <c r="I345" i="2"/>
  <c r="I355" i="2"/>
  <c r="I361" i="2"/>
  <c r="I371" i="2"/>
  <c r="I329" i="1"/>
  <c r="I327" i="1"/>
  <c r="I230" i="1"/>
  <c r="I359" i="1"/>
  <c r="I229" i="1"/>
  <c r="I168" i="1"/>
  <c r="K355" i="1"/>
  <c r="I355" i="1"/>
  <c r="K132" i="1"/>
  <c r="K15" i="1"/>
  <c r="K78" i="1"/>
  <c r="I47" i="1"/>
  <c r="I21" i="1"/>
  <c r="I189" i="2"/>
  <c r="I193" i="2"/>
  <c r="I197" i="2"/>
  <c r="I201" i="2"/>
  <c r="I290" i="2"/>
  <c r="I104" i="2"/>
  <c r="I108" i="2"/>
  <c r="I112" i="2"/>
  <c r="I116" i="2"/>
  <c r="I120" i="2"/>
  <c r="I124" i="2"/>
  <c r="I128" i="2"/>
  <c r="I132" i="2"/>
  <c r="I136" i="2"/>
  <c r="I140" i="2"/>
  <c r="I144" i="2"/>
  <c r="I148" i="2"/>
  <c r="I152" i="2"/>
  <c r="I156" i="2"/>
  <c r="I160" i="2"/>
  <c r="I164" i="2"/>
  <c r="I168" i="2"/>
  <c r="I172" i="2"/>
  <c r="I176" i="2"/>
  <c r="I180" i="2"/>
  <c r="I184" i="2"/>
  <c r="K322" i="1"/>
  <c r="K310" i="1"/>
  <c r="I271" i="1"/>
  <c r="K222" i="1"/>
  <c r="K207" i="1"/>
  <c r="I206" i="1"/>
  <c r="K131" i="1"/>
  <c r="K124" i="1"/>
  <c r="I88" i="1"/>
  <c r="I291" i="2"/>
  <c r="I295" i="2"/>
  <c r="I299" i="2"/>
  <c r="I302" i="2"/>
  <c r="I306" i="2"/>
  <c r="I310" i="2"/>
  <c r="I314" i="2"/>
  <c r="I318" i="2"/>
  <c r="I322" i="2"/>
  <c r="I326" i="2"/>
  <c r="I330" i="2"/>
  <c r="I334" i="2"/>
  <c r="I338" i="2"/>
  <c r="I342" i="2"/>
  <c r="I346" i="2"/>
  <c r="I350" i="2"/>
  <c r="I354" i="2"/>
  <c r="I358" i="2"/>
  <c r="I362" i="2"/>
  <c r="I366" i="2"/>
  <c r="I370" i="2"/>
  <c r="K363" i="1"/>
  <c r="I361" i="1"/>
  <c r="K357" i="1"/>
  <c r="I258" i="1"/>
  <c r="I184" i="1"/>
  <c r="I141" i="1"/>
  <c r="I97" i="1"/>
  <c r="K87" i="1"/>
  <c r="K54" i="1"/>
  <c r="I286" i="1"/>
  <c r="K265" i="1"/>
  <c r="K257" i="1"/>
  <c r="I245" i="1"/>
  <c r="K156" i="1"/>
  <c r="K144" i="1"/>
  <c r="I144" i="1"/>
  <c r="K111" i="1"/>
  <c r="K96" i="1"/>
  <c r="K79" i="1"/>
  <c r="K34" i="1"/>
  <c r="K260" i="1"/>
  <c r="K252" i="1"/>
  <c r="I251" i="1"/>
  <c r="K244" i="1"/>
  <c r="K216" i="1"/>
  <c r="K213" i="1"/>
  <c r="I213" i="1"/>
  <c r="K209" i="1"/>
  <c r="K198" i="1"/>
  <c r="I198" i="1"/>
  <c r="K194" i="1"/>
  <c r="K192" i="1"/>
  <c r="K154" i="1"/>
  <c r="K139" i="1"/>
  <c r="I87" i="1"/>
  <c r="I265" i="1"/>
  <c r="K204" i="1"/>
  <c r="I285" i="1"/>
  <c r="I261" i="1"/>
  <c r="I193" i="1"/>
  <c r="I188" i="1"/>
  <c r="K362" i="1"/>
  <c r="K352" i="1"/>
  <c r="I351" i="1"/>
  <c r="K348" i="1"/>
  <c r="K319" i="1"/>
  <c r="K315" i="1"/>
  <c r="K229" i="1"/>
  <c r="I152" i="1"/>
  <c r="I133" i="1"/>
  <c r="K122" i="1"/>
  <c r="I119" i="1"/>
  <c r="I89" i="1"/>
  <c r="I73" i="1"/>
  <c r="I63" i="1"/>
  <c r="K58" i="1"/>
  <c r="I16" i="1"/>
  <c r="K343" i="1"/>
  <c r="I339" i="1"/>
  <c r="I303" i="1"/>
  <c r="I235" i="1"/>
  <c r="I228" i="1"/>
  <c r="K199" i="1"/>
  <c r="I164" i="1"/>
  <c r="I136" i="1"/>
  <c r="K113" i="1"/>
  <c r="I103" i="1"/>
  <c r="I100" i="1"/>
  <c r="I96" i="1"/>
  <c r="I84" i="1"/>
  <c r="I69" i="1"/>
  <c r="K66" i="1"/>
  <c r="K63" i="1"/>
  <c r="I62" i="1"/>
  <c r="I52" i="1"/>
  <c r="I49" i="1"/>
  <c r="I162" i="1"/>
  <c r="I158" i="1"/>
  <c r="I77" i="1"/>
  <c r="I321" i="1"/>
  <c r="I299" i="1"/>
  <c r="I224" i="1"/>
  <c r="I217" i="1"/>
  <c r="I177" i="1"/>
  <c r="I172" i="1"/>
  <c r="I154" i="1"/>
  <c r="I370" i="1"/>
  <c r="I349" i="1"/>
  <c r="K342" i="1"/>
  <c r="K338" i="1"/>
  <c r="K334" i="1"/>
  <c r="I319" i="1"/>
  <c r="K316" i="1"/>
  <c r="I309" i="1"/>
  <c r="I305" i="1"/>
  <c r="K302" i="1"/>
  <c r="I301" i="1"/>
  <c r="K294" i="1"/>
  <c r="I289" i="1"/>
  <c r="K283" i="1"/>
  <c r="I282" i="1"/>
  <c r="I253" i="1"/>
  <c r="K249" i="1"/>
  <c r="I249" i="1"/>
  <c r="K239" i="1"/>
  <c r="I237" i="1"/>
  <c r="K235" i="1"/>
  <c r="K234" i="1"/>
  <c r="I234" i="1"/>
  <c r="I233" i="1"/>
  <c r="I208" i="1"/>
  <c r="K201" i="1"/>
  <c r="I195" i="1"/>
  <c r="I181" i="1"/>
  <c r="I173" i="1"/>
  <c r="I165" i="1"/>
  <c r="K163" i="1"/>
  <c r="I150" i="1"/>
  <c r="I112" i="1"/>
  <c r="K103" i="1"/>
  <c r="K95" i="1"/>
  <c r="I86" i="1"/>
  <c r="I68" i="1"/>
  <c r="K49" i="1"/>
  <c r="K46" i="1"/>
  <c r="K43" i="1"/>
  <c r="I35" i="1"/>
  <c r="K31" i="1"/>
  <c r="I24" i="1"/>
  <c r="K245" i="1"/>
  <c r="I244" i="1"/>
  <c r="I176" i="1"/>
  <c r="K140" i="1"/>
  <c r="I137" i="1"/>
  <c r="K336" i="1"/>
  <c r="I335" i="1"/>
  <c r="K314" i="1"/>
  <c r="K296" i="1"/>
  <c r="I291" i="1"/>
  <c r="I281" i="1"/>
  <c r="I274" i="1"/>
  <c r="K247" i="1"/>
  <c r="I246" i="1"/>
  <c r="I180" i="1"/>
  <c r="K168" i="1"/>
  <c r="I130" i="1"/>
  <c r="K128" i="1"/>
  <c r="I127" i="1"/>
  <c r="I92" i="1"/>
  <c r="K370" i="1"/>
  <c r="K366" i="1"/>
  <c r="K360" i="1"/>
  <c r="K353" i="1"/>
  <c r="K346" i="1"/>
  <c r="K262" i="1"/>
  <c r="K258" i="1"/>
  <c r="K255" i="1"/>
  <c r="K231" i="1"/>
  <c r="I221" i="1"/>
  <c r="K215" i="1"/>
  <c r="K186" i="1"/>
  <c r="K172" i="1"/>
  <c r="I169" i="1"/>
  <c r="K162" i="1"/>
  <c r="K158" i="1"/>
  <c r="I146" i="1"/>
  <c r="K136" i="1"/>
  <c r="I65" i="1"/>
  <c r="I42" i="1"/>
  <c r="I39" i="1"/>
  <c r="I37" i="1"/>
  <c r="K35" i="1"/>
  <c r="I28" i="1"/>
  <c r="K26" i="1"/>
  <c r="I365" i="1"/>
  <c r="I357" i="1"/>
  <c r="K345" i="1"/>
  <c r="K335" i="1"/>
  <c r="K325" i="1"/>
  <c r="K291" i="1"/>
  <c r="I277" i="1"/>
  <c r="K267" i="1"/>
  <c r="I259" i="1"/>
  <c r="K224" i="1"/>
  <c r="I223" i="1"/>
  <c r="K212" i="1"/>
  <c r="I212" i="1"/>
  <c r="K197" i="1"/>
  <c r="I197" i="1"/>
  <c r="I189" i="1"/>
  <c r="I185" i="1"/>
  <c r="K184" i="1"/>
  <c r="K175" i="1"/>
  <c r="I160" i="1"/>
  <c r="I156" i="1"/>
  <c r="K153" i="1"/>
  <c r="I148" i="1"/>
  <c r="I143" i="1"/>
  <c r="I139" i="1"/>
  <c r="I132" i="1"/>
  <c r="I129" i="1"/>
  <c r="I120" i="1"/>
  <c r="K118" i="1"/>
  <c r="I113" i="1"/>
  <c r="I110" i="1"/>
  <c r="I107" i="1"/>
  <c r="I95" i="1"/>
  <c r="I81" i="1"/>
  <c r="I75" i="1"/>
  <c r="K72" i="1"/>
  <c r="K67" i="1"/>
  <c r="I60" i="1"/>
  <c r="K55" i="1"/>
  <c r="I44" i="1"/>
  <c r="K39" i="1"/>
  <c r="I33" i="1"/>
  <c r="I31" i="1"/>
  <c r="I22" i="1"/>
  <c r="I79" i="1"/>
  <c r="L79" i="1" s="1"/>
  <c r="I70" i="1"/>
  <c r="I61" i="1"/>
  <c r="I18" i="1"/>
  <c r="K364" i="1"/>
  <c r="K361" i="1"/>
  <c r="K356" i="1"/>
  <c r="K354" i="1"/>
  <c r="K347" i="1"/>
  <c r="I347" i="1"/>
  <c r="I343" i="1"/>
  <c r="K341" i="1"/>
  <c r="I341" i="1"/>
  <c r="I337" i="1"/>
  <c r="K328" i="1"/>
  <c r="K324" i="1"/>
  <c r="I323" i="1"/>
  <c r="I311" i="1"/>
  <c r="K307" i="1"/>
  <c r="K306" i="1"/>
  <c r="I306" i="1"/>
  <c r="K300" i="1"/>
  <c r="I300" i="1"/>
  <c r="I293" i="1"/>
  <c r="K286" i="1"/>
  <c r="K273" i="1"/>
  <c r="K271" i="1"/>
  <c r="K266" i="1"/>
  <c r="K263" i="1"/>
  <c r="I263" i="1"/>
  <c r="I255" i="1"/>
  <c r="K250" i="1"/>
  <c r="I250" i="1"/>
  <c r="I247" i="1"/>
  <c r="K242" i="1"/>
  <c r="I239" i="1"/>
  <c r="K237" i="1"/>
  <c r="I236" i="1"/>
  <c r="K226" i="1"/>
  <c r="K196" i="1"/>
  <c r="K177" i="1"/>
  <c r="K170" i="1"/>
  <c r="K150" i="1"/>
  <c r="K147" i="1"/>
  <c r="I142" i="1"/>
  <c r="I140" i="1"/>
  <c r="I134" i="1"/>
  <c r="K115" i="1"/>
  <c r="K83" i="1"/>
  <c r="I46" i="1"/>
  <c r="K41" i="1"/>
  <c r="K20" i="1"/>
  <c r="I364" i="1"/>
  <c r="I346" i="1"/>
  <c r="I273" i="1"/>
  <c r="K367" i="1"/>
  <c r="I352" i="1"/>
  <c r="K287" i="1"/>
  <c r="I276" i="1"/>
  <c r="I266" i="1"/>
  <c r="L266" i="1" s="1"/>
  <c r="I102" i="1"/>
  <c r="I72" i="1"/>
  <c r="I67" i="1"/>
  <c r="I64" i="1"/>
  <c r="K349" i="1"/>
  <c r="I313" i="1"/>
  <c r="K311" i="1"/>
  <c r="I257" i="1"/>
  <c r="K220" i="1"/>
  <c r="I204" i="1"/>
  <c r="I200" i="1"/>
  <c r="K195" i="1"/>
  <c r="I170" i="1"/>
  <c r="I369" i="1"/>
  <c r="I316" i="1"/>
  <c r="L316" i="1" s="1"/>
  <c r="K277" i="1"/>
  <c r="I243" i="1"/>
  <c r="K81" i="1"/>
  <c r="K65" i="1"/>
  <c r="K295" i="1"/>
  <c r="K243" i="1"/>
  <c r="I194" i="1"/>
  <c r="K160" i="1"/>
  <c r="I138" i="1"/>
  <c r="I104" i="1"/>
  <c r="I91" i="1"/>
  <c r="K86" i="1"/>
  <c r="K75" i="1"/>
  <c r="I74" i="1"/>
  <c r="K18" i="1"/>
  <c r="I17" i="1"/>
  <c r="I367" i="1"/>
  <c r="I363" i="1"/>
  <c r="K359" i="1"/>
  <c r="I353" i="1"/>
  <c r="K351" i="1"/>
  <c r="K350" i="1"/>
  <c r="I350" i="1"/>
  <c r="K339" i="1"/>
  <c r="K305" i="1"/>
  <c r="K303" i="1"/>
  <c r="I297" i="1"/>
  <c r="I279" i="1"/>
  <c r="K274" i="1"/>
  <c r="I267" i="1"/>
  <c r="K264" i="1"/>
  <c r="K241" i="1"/>
  <c r="I238" i="1"/>
  <c r="I211" i="1"/>
  <c r="K117" i="1"/>
  <c r="I115" i="1"/>
  <c r="I41" i="1"/>
  <c r="I30" i="1"/>
  <c r="I345" i="1"/>
  <c r="K331" i="1"/>
  <c r="K330" i="1"/>
  <c r="I330" i="1"/>
  <c r="K329" i="1"/>
  <c r="K327" i="1"/>
  <c r="K323" i="1"/>
  <c r="I317" i="1"/>
  <c r="I315" i="1"/>
  <c r="K312" i="1"/>
  <c r="I307" i="1"/>
  <c r="K301" i="1"/>
  <c r="K299" i="1"/>
  <c r="K298" i="1"/>
  <c r="I295" i="1"/>
  <c r="K288" i="1"/>
  <c r="I288" i="1"/>
  <c r="I287" i="1"/>
  <c r="K282" i="1"/>
  <c r="K278" i="1"/>
  <c r="I278" i="1"/>
  <c r="K275" i="1"/>
  <c r="K272" i="1"/>
  <c r="K270" i="1"/>
  <c r="K268" i="1"/>
  <c r="K259" i="1"/>
  <c r="K256" i="1"/>
  <c r="K251" i="1"/>
  <c r="I241" i="1"/>
  <c r="I186" i="1"/>
  <c r="K152" i="1"/>
  <c r="K148" i="1"/>
  <c r="I147" i="1"/>
  <c r="K127" i="1"/>
  <c r="I126" i="1"/>
  <c r="I121" i="1"/>
  <c r="K107" i="1"/>
  <c r="I106" i="1"/>
  <c r="K98" i="1"/>
  <c r="I94" i="1"/>
  <c r="K77" i="1"/>
  <c r="K71" i="1"/>
  <c r="K56" i="1"/>
  <c r="K50" i="1"/>
  <c r="I32" i="1"/>
  <c r="K22" i="1"/>
  <c r="I20" i="1"/>
  <c r="I227" i="1"/>
  <c r="K223" i="1"/>
  <c r="I203" i="1"/>
  <c r="K200" i="1"/>
  <c r="I196" i="1"/>
  <c r="K191" i="1"/>
  <c r="K188" i="1"/>
  <c r="K180" i="1"/>
  <c r="I175" i="1"/>
  <c r="K164" i="1"/>
  <c r="I161" i="1"/>
  <c r="I157" i="1"/>
  <c r="I153" i="1"/>
  <c r="K149" i="1"/>
  <c r="I149" i="1"/>
  <c r="K145" i="1"/>
  <c r="I145" i="1"/>
  <c r="I135" i="1"/>
  <c r="I128" i="1"/>
  <c r="I125" i="1"/>
  <c r="K123" i="1"/>
  <c r="I123" i="1"/>
  <c r="I116" i="1"/>
  <c r="K108" i="1"/>
  <c r="I108" i="1"/>
  <c r="I99" i="1"/>
  <c r="K94" i="1"/>
  <c r="K91" i="1"/>
  <c r="I90" i="1"/>
  <c r="I85" i="1"/>
  <c r="I82" i="1"/>
  <c r="I80" i="1"/>
  <c r="K74" i="1"/>
  <c r="K70" i="1"/>
  <c r="I66" i="1"/>
  <c r="K59" i="1"/>
  <c r="K57" i="1"/>
  <c r="I55" i="1"/>
  <c r="K53" i="1"/>
  <c r="I53" i="1"/>
  <c r="K51" i="1"/>
  <c r="I51" i="1"/>
  <c r="I43" i="1"/>
  <c r="I40" i="1"/>
  <c r="I38" i="1"/>
  <c r="I36" i="1"/>
  <c r="K30" i="1"/>
  <c r="I25" i="1"/>
  <c r="K17" i="1"/>
  <c r="K232" i="1"/>
  <c r="I232" i="1"/>
  <c r="K230" i="1"/>
  <c r="K227" i="1"/>
  <c r="I220" i="1"/>
  <c r="K219" i="1"/>
  <c r="I216" i="1"/>
  <c r="K214" i="1"/>
  <c r="K208" i="1"/>
  <c r="I205" i="1"/>
  <c r="K202" i="1"/>
  <c r="I202" i="1"/>
  <c r="K190" i="1"/>
  <c r="I190" i="1"/>
  <c r="K182" i="1"/>
  <c r="I182" i="1"/>
  <c r="K179" i="1"/>
  <c r="I179" i="1"/>
  <c r="K174" i="1"/>
  <c r="I174" i="1"/>
  <c r="K166" i="1"/>
  <c r="I166" i="1"/>
  <c r="K143" i="1"/>
  <c r="K130" i="1"/>
  <c r="K120" i="1"/>
  <c r="I117" i="1"/>
  <c r="K101" i="1"/>
  <c r="I101" i="1"/>
  <c r="K99" i="1"/>
  <c r="K97" i="1"/>
  <c r="K93" i="1"/>
  <c r="K68" i="1"/>
  <c r="K60" i="1"/>
  <c r="K33" i="1"/>
  <c r="K29" i="1"/>
  <c r="I29" i="1"/>
  <c r="I27" i="1"/>
  <c r="K23" i="1"/>
  <c r="K19" i="1"/>
  <c r="I19" i="1"/>
  <c r="K369" i="1"/>
  <c r="I342" i="1"/>
  <c r="I338" i="1"/>
  <c r="K297" i="1"/>
  <c r="I226" i="1"/>
  <c r="K119" i="1"/>
  <c r="K110" i="1"/>
  <c r="K90" i="1"/>
  <c r="I360" i="1"/>
  <c r="I356" i="1"/>
  <c r="K337" i="1"/>
  <c r="I328" i="1"/>
  <c r="I324" i="1"/>
  <c r="K313" i="1"/>
  <c r="I298" i="1"/>
  <c r="K285" i="1"/>
  <c r="I264" i="1"/>
  <c r="I368" i="1"/>
  <c r="I366" i="1"/>
  <c r="K365" i="1"/>
  <c r="I362" i="1"/>
  <c r="I354" i="1"/>
  <c r="I348" i="1"/>
  <c r="I336" i="1"/>
  <c r="I334" i="1"/>
  <c r="K333" i="1"/>
  <c r="I322" i="1"/>
  <c r="K321" i="1"/>
  <c r="I312" i="1"/>
  <c r="I310" i="1"/>
  <c r="K309" i="1"/>
  <c r="I302" i="1"/>
  <c r="I296" i="1"/>
  <c r="I294" i="1"/>
  <c r="K293" i="1"/>
  <c r="I284" i="1"/>
  <c r="K281" i="1"/>
  <c r="I275" i="1"/>
  <c r="L275" i="1" s="1"/>
  <c r="I270" i="1"/>
  <c r="K269" i="1"/>
  <c r="I268" i="1"/>
  <c r="I262" i="1"/>
  <c r="K261" i="1"/>
  <c r="I260" i="1"/>
  <c r="I254" i="1"/>
  <c r="K253" i="1"/>
  <c r="I252" i="1"/>
  <c r="I242" i="1"/>
  <c r="K211" i="1"/>
  <c r="I209" i="1"/>
  <c r="K206" i="1"/>
  <c r="I201" i="1"/>
  <c r="I199" i="1"/>
  <c r="I167" i="1"/>
  <c r="I163" i="1"/>
  <c r="I131" i="1"/>
  <c r="K82" i="1"/>
  <c r="I34" i="1"/>
  <c r="I314" i="1"/>
  <c r="I304" i="1"/>
  <c r="K276" i="1"/>
  <c r="I272" i="1"/>
  <c r="I256" i="1"/>
  <c r="I231" i="1"/>
  <c r="K358" i="1"/>
  <c r="I358" i="1"/>
  <c r="K344" i="1"/>
  <c r="I344" i="1"/>
  <c r="K340" i="1"/>
  <c r="I340" i="1"/>
  <c r="K332" i="1"/>
  <c r="I332" i="1"/>
  <c r="K326" i="1"/>
  <c r="I326" i="1"/>
  <c r="K320" i="1"/>
  <c r="I320" i="1"/>
  <c r="K318" i="1"/>
  <c r="I318" i="1"/>
  <c r="K317" i="1"/>
  <c r="K308" i="1"/>
  <c r="I308" i="1"/>
  <c r="K292" i="1"/>
  <c r="I292" i="1"/>
  <c r="K290" i="1"/>
  <c r="I290" i="1"/>
  <c r="K289" i="1"/>
  <c r="I283" i="1"/>
  <c r="K280" i="1"/>
  <c r="I280" i="1"/>
  <c r="K238" i="1"/>
  <c r="K236" i="1"/>
  <c r="K233" i="1"/>
  <c r="I219" i="1"/>
  <c r="I215" i="1"/>
  <c r="I207" i="1"/>
  <c r="K205" i="1"/>
  <c r="K193" i="1"/>
  <c r="K189" i="1"/>
  <c r="K185" i="1"/>
  <c r="K181" i="1"/>
  <c r="K171" i="1"/>
  <c r="I171" i="1"/>
  <c r="K161" i="1"/>
  <c r="I124" i="1"/>
  <c r="K116" i="1"/>
  <c r="I23" i="1"/>
  <c r="K52" i="1"/>
  <c r="K37" i="1"/>
  <c r="K248" i="1"/>
  <c r="I248" i="1"/>
  <c r="K240" i="1"/>
  <c r="I240" i="1"/>
  <c r="K225" i="1"/>
  <c r="I225" i="1"/>
  <c r="I222" i="1"/>
  <c r="K221" i="1"/>
  <c r="K218" i="1"/>
  <c r="I218" i="1"/>
  <c r="K210" i="1"/>
  <c r="I210" i="1"/>
  <c r="K203" i="1"/>
  <c r="I191" i="1"/>
  <c r="K187" i="1"/>
  <c r="I187" i="1"/>
  <c r="K183" i="1"/>
  <c r="I183" i="1"/>
  <c r="K178" i="1"/>
  <c r="K173" i="1"/>
  <c r="K169" i="1"/>
  <c r="K165" i="1"/>
  <c r="K135" i="1"/>
  <c r="K105" i="1"/>
  <c r="I98" i="1"/>
  <c r="I93" i="1"/>
  <c r="K80" i="1"/>
  <c r="K44" i="1"/>
  <c r="K159" i="1"/>
  <c r="I159" i="1"/>
  <c r="K155" i="1"/>
  <c r="I155" i="1"/>
  <c r="K151" i="1"/>
  <c r="I151" i="1"/>
  <c r="K146" i="1"/>
  <c r="K141" i="1"/>
  <c r="K137" i="1"/>
  <c r="K133" i="1"/>
  <c r="K126" i="1"/>
  <c r="I122" i="1"/>
  <c r="I118" i="1"/>
  <c r="I114" i="1"/>
  <c r="K112" i="1"/>
  <c r="K109" i="1"/>
  <c r="I109" i="1"/>
  <c r="K106" i="1"/>
  <c r="K102" i="1"/>
  <c r="K88" i="1"/>
  <c r="K84" i="1"/>
  <c r="I78" i="1"/>
  <c r="K76" i="1"/>
  <c r="I76" i="1"/>
  <c r="K73" i="1"/>
  <c r="K69" i="1"/>
  <c r="K62" i="1"/>
  <c r="L62" i="1" s="1"/>
  <c r="I58" i="1"/>
  <c r="I54" i="1"/>
  <c r="I50" i="1"/>
  <c r="K48" i="1"/>
  <c r="K45" i="1"/>
  <c r="I45" i="1"/>
  <c r="K42" i="1"/>
  <c r="K38" i="1"/>
  <c r="K24" i="1"/>
  <c r="K21" i="1"/>
  <c r="K142" i="1"/>
  <c r="K138" i="1"/>
  <c r="K134" i="1"/>
  <c r="K129" i="1"/>
  <c r="K125" i="1"/>
  <c r="K104" i="1"/>
  <c r="K100" i="1"/>
  <c r="K92" i="1"/>
  <c r="K89" i="1"/>
  <c r="K85" i="1"/>
  <c r="K64" i="1"/>
  <c r="K61" i="1"/>
  <c r="K40" i="1"/>
  <c r="K36" i="1"/>
  <c r="K28" i="1"/>
  <c r="K25" i="1"/>
  <c r="K16" i="1"/>
  <c r="K12" i="1"/>
  <c r="I10" i="1"/>
  <c r="I14" i="1"/>
  <c r="K14" i="1"/>
  <c r="K10" i="1"/>
  <c r="K13" i="1"/>
  <c r="K9" i="1"/>
  <c r="L9" i="1" s="1"/>
  <c r="I12" i="1"/>
  <c r="I8" i="1"/>
  <c r="I6" i="1"/>
  <c r="L6" i="1" s="1"/>
  <c r="I5" i="1"/>
  <c r="L5" i="1" s="1"/>
  <c r="K8" i="1"/>
  <c r="K11" i="1"/>
  <c r="L11" i="1" s="1"/>
  <c r="J109" i="4" l="1"/>
  <c r="J93" i="4"/>
  <c r="J104" i="4"/>
  <c r="J88" i="4"/>
  <c r="J72" i="4"/>
  <c r="J56" i="4"/>
  <c r="J40" i="4"/>
  <c r="J24" i="4"/>
  <c r="J353" i="4"/>
  <c r="J112" i="4"/>
  <c r="J96" i="4"/>
  <c r="J80" i="4"/>
  <c r="J64" i="4"/>
  <c r="J48" i="4"/>
  <c r="J32" i="4"/>
  <c r="J16" i="4"/>
  <c r="J265" i="4"/>
  <c r="J249" i="4"/>
  <c r="J233" i="4"/>
  <c r="J197" i="4"/>
  <c r="J149" i="4"/>
  <c r="J133" i="4"/>
  <c r="J113" i="4"/>
  <c r="J97" i="4"/>
  <c r="J357" i="4"/>
  <c r="J221" i="4"/>
  <c r="J205" i="4"/>
  <c r="J369" i="4"/>
  <c r="J349" i="4"/>
  <c r="J269" i="4"/>
  <c r="J253" i="4"/>
  <c r="J237" i="4"/>
  <c r="J217" i="4"/>
  <c r="J153" i="4"/>
  <c r="J137" i="4"/>
  <c r="J121" i="4"/>
  <c r="J61" i="4"/>
  <c r="J45" i="4"/>
  <c r="J29" i="4"/>
  <c r="J13" i="4"/>
  <c r="J201" i="4"/>
  <c r="J53" i="4"/>
  <c r="J37" i="4"/>
  <c r="J21" i="4"/>
  <c r="J225" i="4"/>
  <c r="J116" i="4"/>
  <c r="J62" i="4"/>
  <c r="J30" i="4"/>
  <c r="J365" i="4"/>
  <c r="J213" i="4"/>
  <c r="J38" i="4"/>
  <c r="J108" i="4"/>
  <c r="J92" i="4"/>
  <c r="J76" i="4"/>
  <c r="J60" i="4"/>
  <c r="J44" i="4"/>
  <c r="J28" i="4"/>
  <c r="J12" i="4"/>
  <c r="J54" i="4"/>
  <c r="J22" i="4"/>
  <c r="J277" i="4"/>
  <c r="J261" i="4"/>
  <c r="J245" i="4"/>
  <c r="J229" i="4"/>
  <c r="J209" i="4"/>
  <c r="J193" i="4"/>
  <c r="J145" i="4"/>
  <c r="J129" i="4"/>
  <c r="J65" i="4"/>
  <c r="J49" i="4"/>
  <c r="J33" i="4"/>
  <c r="J17" i="4"/>
  <c r="J236" i="2"/>
  <c r="J24" i="2"/>
  <c r="J372" i="2"/>
  <c r="J184" i="2"/>
  <c r="J332" i="2"/>
  <c r="J364" i="2"/>
  <c r="J304" i="2"/>
  <c r="J324" i="2"/>
  <c r="J315" i="2"/>
  <c r="J284" i="2"/>
  <c r="J291" i="2"/>
  <c r="J229" i="2"/>
  <c r="J344" i="2"/>
  <c r="J308" i="2"/>
  <c r="J336" i="2"/>
  <c r="J325" i="2"/>
  <c r="J353" i="2"/>
  <c r="J209" i="2"/>
  <c r="J82" i="2"/>
  <c r="J94" i="2"/>
  <c r="J78" i="2"/>
  <c r="J337" i="2"/>
  <c r="J305" i="2"/>
  <c r="J356" i="2"/>
  <c r="J320" i="2"/>
  <c r="J312" i="2"/>
  <c r="J131" i="2"/>
  <c r="J158" i="2"/>
  <c r="J368" i="2"/>
  <c r="J288" i="2"/>
  <c r="J333" i="2"/>
  <c r="J365" i="2"/>
  <c r="J309" i="2"/>
  <c r="J300" i="2"/>
  <c r="J20" i="2"/>
  <c r="L13" i="1"/>
  <c r="J352" i="2"/>
  <c r="J212" i="2"/>
  <c r="J340" i="2"/>
  <c r="J301" i="2"/>
  <c r="J36" i="2"/>
  <c r="J16" i="2"/>
  <c r="J357" i="2"/>
  <c r="J165" i="2"/>
  <c r="J62" i="2"/>
  <c r="J46" i="2"/>
  <c r="J275" i="2"/>
  <c r="J254" i="2"/>
  <c r="J327" i="2"/>
  <c r="J277" i="2"/>
  <c r="J75" i="2"/>
  <c r="J247" i="2"/>
  <c r="J215" i="2"/>
  <c r="J217" i="2"/>
  <c r="J289" i="2"/>
  <c r="L269" i="1"/>
  <c r="J197" i="2"/>
  <c r="J93" i="2"/>
  <c r="J142" i="2"/>
  <c r="J258" i="2"/>
  <c r="J117" i="2"/>
  <c r="J83" i="2"/>
  <c r="J67" i="2"/>
  <c r="J51" i="2"/>
  <c r="J227" i="2"/>
  <c r="J359" i="2"/>
  <c r="J311" i="2"/>
  <c r="J186" i="2"/>
  <c r="J319" i="2"/>
  <c r="J303" i="2"/>
  <c r="J111" i="2"/>
  <c r="J222" i="2"/>
  <c r="J115" i="2"/>
  <c r="J13" i="2"/>
  <c r="J373" i="2"/>
  <c r="J35" i="2"/>
  <c r="J367" i="2"/>
  <c r="J239" i="2"/>
  <c r="J193" i="2"/>
  <c r="J129" i="2"/>
  <c r="J270" i="2"/>
  <c r="L32" i="1"/>
  <c r="J370" i="2"/>
  <c r="J313" i="2"/>
  <c r="J105" i="2"/>
  <c r="J145" i="2"/>
  <c r="J173" i="2"/>
  <c r="J237" i="2"/>
  <c r="J70" i="2"/>
  <c r="J25" i="2"/>
  <c r="J343" i="2"/>
  <c r="J345" i="2"/>
  <c r="J143" i="2"/>
  <c r="L178" i="1"/>
  <c r="J362" i="2"/>
  <c r="J314" i="2"/>
  <c r="L47" i="1"/>
  <c r="J255" i="2"/>
  <c r="J11" i="2"/>
  <c r="J74" i="2"/>
  <c r="J59" i="2"/>
  <c r="J347" i="2"/>
  <c r="J298" i="2"/>
  <c r="J281" i="2"/>
  <c r="L114" i="1"/>
  <c r="L111" i="1"/>
  <c r="J342" i="2"/>
  <c r="J326" i="2"/>
  <c r="J54" i="2"/>
  <c r="J38" i="2"/>
  <c r="J203" i="2"/>
  <c r="J86" i="2"/>
  <c r="J350" i="2"/>
  <c r="J318" i="2"/>
  <c r="J282" i="2"/>
  <c r="L296" i="1"/>
  <c r="L362" i="1"/>
  <c r="L107" i="1"/>
  <c r="L18" i="1"/>
  <c r="L346" i="1"/>
  <c r="L247" i="1"/>
  <c r="L361" i="1"/>
  <c r="L113" i="1"/>
  <c r="L319" i="1"/>
  <c r="J202" i="2"/>
  <c r="J162" i="2"/>
  <c r="J60" i="2"/>
  <c r="J292" i="2"/>
  <c r="L104" i="1"/>
  <c r="J346" i="2"/>
  <c r="J330" i="2"/>
  <c r="J351" i="2"/>
  <c r="J149" i="2"/>
  <c r="J358" i="2"/>
  <c r="J310" i="2"/>
  <c r="J269" i="2"/>
  <c r="J206" i="2"/>
  <c r="J363" i="2"/>
  <c r="J331" i="2"/>
  <c r="L83" i="1"/>
  <c r="J246" i="2"/>
  <c r="J194" i="2"/>
  <c r="J123" i="2"/>
  <c r="J196" i="2"/>
  <c r="J243" i="2"/>
  <c r="L298" i="1"/>
  <c r="J201" i="2"/>
  <c r="J18" i="2"/>
  <c r="J26" i="2"/>
  <c r="L121" i="1"/>
  <c r="J208" i="2"/>
  <c r="J189" i="2"/>
  <c r="L299" i="1"/>
  <c r="L116" i="1"/>
  <c r="L28" i="1"/>
  <c r="L24" i="1"/>
  <c r="L242" i="1"/>
  <c r="L260" i="1"/>
  <c r="L328" i="1"/>
  <c r="L203" i="1"/>
  <c r="L239" i="1"/>
  <c r="L245" i="1"/>
  <c r="L48" i="1"/>
  <c r="J204" i="2"/>
  <c r="L105" i="1"/>
  <c r="J366" i="2"/>
  <c r="J334" i="2"/>
  <c r="J302" i="2"/>
  <c r="J174" i="2"/>
  <c r="J130" i="2"/>
  <c r="J88" i="2"/>
  <c r="J211" i="2"/>
  <c r="J265" i="2"/>
  <c r="J32" i="2"/>
  <c r="L236" i="1"/>
  <c r="L283" i="1"/>
  <c r="L206" i="1"/>
  <c r="L230" i="1"/>
  <c r="L86" i="1"/>
  <c r="J160" i="2"/>
  <c r="J112" i="2"/>
  <c r="J266" i="2"/>
  <c r="J39" i="2"/>
  <c r="J17" i="2"/>
  <c r="J19" i="2"/>
  <c r="J195" i="2"/>
  <c r="J140" i="2"/>
  <c r="J371" i="2"/>
  <c r="J248" i="2"/>
  <c r="J263" i="2"/>
  <c r="J231" i="2"/>
  <c r="J199" i="2"/>
  <c r="J150" i="2"/>
  <c r="J33" i="2"/>
  <c r="J14" i="2"/>
  <c r="J101" i="2"/>
  <c r="J66" i="2"/>
  <c r="J58" i="2"/>
  <c r="J50" i="2"/>
  <c r="J42" i="2"/>
  <c r="J161" i="2"/>
  <c r="L192" i="1"/>
  <c r="L141" i="1"/>
  <c r="L44" i="1"/>
  <c r="L124" i="1"/>
  <c r="L231" i="1"/>
  <c r="L153" i="1"/>
  <c r="L303" i="1"/>
  <c r="L237" i="1"/>
  <c r="L250" i="1"/>
  <c r="L286" i="1"/>
  <c r="L306" i="1"/>
  <c r="L139" i="1"/>
  <c r="L156" i="1"/>
  <c r="L246" i="1"/>
  <c r="L217" i="1"/>
  <c r="L213" i="1"/>
  <c r="L97" i="1"/>
  <c r="J279" i="2"/>
  <c r="J192" i="2"/>
  <c r="J221" i="2"/>
  <c r="J37" i="2"/>
  <c r="J31" i="2"/>
  <c r="J238" i="2"/>
  <c r="J216" i="2"/>
  <c r="J12" i="2"/>
  <c r="J147" i="2"/>
  <c r="J61" i="2"/>
  <c r="J53" i="2"/>
  <c r="J45" i="2"/>
  <c r="L189" i="1"/>
  <c r="L294" i="1"/>
  <c r="L333" i="1"/>
  <c r="L43" i="1"/>
  <c r="L343" i="1"/>
  <c r="J335" i="2"/>
  <c r="J272" i="2"/>
  <c r="J261" i="2"/>
  <c r="J226" i="2"/>
  <c r="J85" i="2"/>
  <c r="J77" i="2"/>
  <c r="J69" i="2"/>
  <c r="L167" i="1"/>
  <c r="J185" i="2"/>
  <c r="J34" i="2"/>
  <c r="J328" i="2"/>
  <c r="J187" i="2"/>
  <c r="J22" i="2"/>
  <c r="J244" i="2"/>
  <c r="J175" i="2"/>
  <c r="L304" i="1"/>
  <c r="L27" i="1"/>
  <c r="L110" i="1"/>
  <c r="L41" i="1"/>
  <c r="J167" i="2"/>
  <c r="J166" i="2"/>
  <c r="J200" i="2"/>
  <c r="J285" i="2"/>
  <c r="J207" i="2"/>
  <c r="J97" i="2"/>
  <c r="J79" i="2"/>
  <c r="J71" i="2"/>
  <c r="J63" i="2"/>
  <c r="J55" i="2"/>
  <c r="J47" i="2"/>
  <c r="J151" i="2"/>
  <c r="L55" i="1"/>
  <c r="L223" i="1"/>
  <c r="L241" i="1"/>
  <c r="L345" i="1"/>
  <c r="L204" i="1"/>
  <c r="L140" i="1"/>
  <c r="L33" i="1"/>
  <c r="L81" i="1"/>
  <c r="L184" i="1"/>
  <c r="L335" i="1"/>
  <c r="L176" i="1"/>
  <c r="L234" i="1"/>
  <c r="L351" i="1"/>
  <c r="L265" i="1"/>
  <c r="J262" i="2"/>
  <c r="J213" i="2"/>
  <c r="J91" i="2"/>
  <c r="J183" i="2"/>
  <c r="L157" i="1"/>
  <c r="J27" i="2"/>
  <c r="J276" i="2"/>
  <c r="J260" i="2"/>
  <c r="J102" i="2"/>
  <c r="J242" i="2"/>
  <c r="L49" i="1"/>
  <c r="J99" i="2"/>
  <c r="L165" i="1"/>
  <c r="L180" i="1"/>
  <c r="L170" i="1"/>
  <c r="J290" i="2"/>
  <c r="J249" i="2"/>
  <c r="J268" i="2"/>
  <c r="J228" i="2"/>
  <c r="J159" i="2"/>
  <c r="L59" i="1"/>
  <c r="L258" i="1"/>
  <c r="L50" i="1"/>
  <c r="L215" i="1"/>
  <c r="L349" i="1"/>
  <c r="L357" i="1"/>
  <c r="J286" i="2"/>
  <c r="J90" i="2"/>
  <c r="J126" i="2"/>
  <c r="J172" i="2"/>
  <c r="L302" i="1"/>
  <c r="L321" i="1"/>
  <c r="J348" i="2"/>
  <c r="J339" i="2"/>
  <c r="L279" i="1"/>
  <c r="L257" i="1"/>
  <c r="L228" i="1"/>
  <c r="J299" i="2"/>
  <c r="J136" i="2"/>
  <c r="J120" i="2"/>
  <c r="J264" i="2"/>
  <c r="J245" i="2"/>
  <c r="J225" i="2"/>
  <c r="J170" i="2"/>
  <c r="J214" i="2"/>
  <c r="J155" i="2"/>
  <c r="J107" i="2"/>
  <c r="J110" i="2"/>
  <c r="J92" i="2"/>
  <c r="J30" i="2"/>
  <c r="J106" i="2"/>
  <c r="J271" i="2"/>
  <c r="J89" i="2"/>
  <c r="J76" i="2"/>
  <c r="J44" i="2"/>
  <c r="J28" i="2"/>
  <c r="J287" i="2"/>
  <c r="J219" i="2"/>
  <c r="J118" i="2"/>
  <c r="J146" i="2"/>
  <c r="J114" i="2"/>
  <c r="J259" i="2"/>
  <c r="J233" i="2"/>
  <c r="J134" i="2"/>
  <c r="J98" i="2"/>
  <c r="J81" i="2"/>
  <c r="J65" i="2"/>
  <c r="J49" i="2"/>
  <c r="L25" i="1"/>
  <c r="L21" i="1"/>
  <c r="L193" i="1"/>
  <c r="L209" i="1"/>
  <c r="L310" i="1"/>
  <c r="L119" i="1"/>
  <c r="L66" i="1"/>
  <c r="L71" i="1"/>
  <c r="L100" i="1"/>
  <c r="L58" i="1"/>
  <c r="L332" i="1"/>
  <c r="L34" i="1"/>
  <c r="L201" i="1"/>
  <c r="L281" i="1"/>
  <c r="L368" i="1"/>
  <c r="L313" i="1"/>
  <c r="L337" i="1"/>
  <c r="L369" i="1"/>
  <c r="L60" i="1"/>
  <c r="L70" i="1"/>
  <c r="L164" i="1"/>
  <c r="L350" i="1"/>
  <c r="L359" i="1"/>
  <c r="L65" i="1"/>
  <c r="L311" i="1"/>
  <c r="L273" i="1"/>
  <c r="L300" i="1"/>
  <c r="L31" i="1"/>
  <c r="L197" i="1"/>
  <c r="J295" i="2"/>
  <c r="J116" i="2"/>
  <c r="J360" i="2"/>
  <c r="J316" i="2"/>
  <c r="J278" i="2"/>
  <c r="J253" i="2"/>
  <c r="J349" i="2"/>
  <c r="J234" i="2"/>
  <c r="J224" i="2"/>
  <c r="J205" i="2"/>
  <c r="J188" i="2"/>
  <c r="J181" i="2"/>
  <c r="J235" i="2"/>
  <c r="J251" i="2"/>
  <c r="J153" i="2"/>
  <c r="J137" i="2"/>
  <c r="J121" i="2"/>
  <c r="J230" i="2"/>
  <c r="J232" i="2"/>
  <c r="J103" i="2"/>
  <c r="L88" i="1"/>
  <c r="J252" i="2"/>
  <c r="J323" i="2"/>
  <c r="J169" i="2"/>
  <c r="J72" i="2"/>
  <c r="J56" i="2"/>
  <c r="J40" i="2"/>
  <c r="L80" i="1"/>
  <c r="L207" i="1"/>
  <c r="L256" i="1"/>
  <c r="L284" i="1"/>
  <c r="L51" i="1"/>
  <c r="L123" i="1"/>
  <c r="L194" i="1"/>
  <c r="L75" i="1"/>
  <c r="L148" i="1"/>
  <c r="L168" i="1"/>
  <c r="L46" i="1"/>
  <c r="L282" i="1"/>
  <c r="L216" i="1"/>
  <c r="L271" i="1"/>
  <c r="J104" i="2"/>
  <c r="L132" i="1"/>
  <c r="J273" i="2"/>
  <c r="J240" i="2"/>
  <c r="J223" i="2"/>
  <c r="J84" i="2"/>
  <c r="J68" i="2"/>
  <c r="J52" i="2"/>
  <c r="J274" i="2"/>
  <c r="J178" i="2"/>
  <c r="J127" i="2"/>
  <c r="J267" i="2"/>
  <c r="J218" i="2"/>
  <c r="L56" i="1"/>
  <c r="J95" i="2"/>
  <c r="L40" i="1"/>
  <c r="L125" i="1"/>
  <c r="L238" i="1"/>
  <c r="L272" i="1"/>
  <c r="L19" i="1"/>
  <c r="L29" i="1"/>
  <c r="L101" i="1"/>
  <c r="L174" i="1"/>
  <c r="L182" i="1"/>
  <c r="L202" i="1"/>
  <c r="L57" i="1"/>
  <c r="L108" i="1"/>
  <c r="L145" i="1"/>
  <c r="L330" i="1"/>
  <c r="J354" i="2"/>
  <c r="J338" i="2"/>
  <c r="J322" i="2"/>
  <c r="J306" i="2"/>
  <c r="J132" i="2"/>
  <c r="L329" i="1"/>
  <c r="J307" i="2"/>
  <c r="J256" i="2"/>
  <c r="J198" i="2"/>
  <c r="J283" i="2"/>
  <c r="J133" i="2"/>
  <c r="J113" i="2"/>
  <c r="J80" i="2"/>
  <c r="J64" i="2"/>
  <c r="J48" i="2"/>
  <c r="J21" i="2"/>
  <c r="J177" i="2"/>
  <c r="J73" i="2"/>
  <c r="J57" i="2"/>
  <c r="J41" i="2"/>
  <c r="J29" i="2"/>
  <c r="L175" i="1"/>
  <c r="L301" i="1"/>
  <c r="L363" i="1"/>
  <c r="L162" i="1"/>
  <c r="J180" i="2"/>
  <c r="J164" i="2"/>
  <c r="J148" i="2"/>
  <c r="J220" i="2"/>
  <c r="J157" i="2"/>
  <c r="J361" i="2"/>
  <c r="J15" i="2"/>
  <c r="L15" i="1"/>
  <c r="L131" i="1"/>
  <c r="L16" i="1"/>
  <c r="L89" i="1"/>
  <c r="L42" i="1"/>
  <c r="L163" i="1"/>
  <c r="L348" i="1"/>
  <c r="L356" i="1"/>
  <c r="L342" i="1"/>
  <c r="L152" i="1"/>
  <c r="L307" i="1"/>
  <c r="L243" i="1"/>
  <c r="L177" i="1"/>
  <c r="L263" i="1"/>
  <c r="L95" i="1"/>
  <c r="L325" i="1"/>
  <c r="L136" i="1"/>
  <c r="L244" i="1"/>
  <c r="L235" i="1"/>
  <c r="L370" i="1"/>
  <c r="L339" i="1"/>
  <c r="L87" i="1"/>
  <c r="L144" i="1"/>
  <c r="J144" i="2"/>
  <c r="J128" i="2"/>
  <c r="L355" i="1"/>
  <c r="J293" i="2"/>
  <c r="J191" i="2"/>
  <c r="J182" i="2"/>
  <c r="J317" i="2"/>
  <c r="J122" i="2"/>
  <c r="J109" i="2"/>
  <c r="J135" i="2"/>
  <c r="J87" i="2"/>
  <c r="L276" i="1"/>
  <c r="L61" i="1"/>
  <c r="L129" i="1"/>
  <c r="L54" i="1"/>
  <c r="L314" i="1"/>
  <c r="L254" i="1"/>
  <c r="L226" i="1"/>
  <c r="L117" i="1"/>
  <c r="L53" i="1"/>
  <c r="L188" i="1"/>
  <c r="L127" i="1"/>
  <c r="L186" i="1"/>
  <c r="L287" i="1"/>
  <c r="L277" i="1"/>
  <c r="L195" i="1"/>
  <c r="L196" i="1"/>
  <c r="L143" i="1"/>
  <c r="L172" i="1"/>
  <c r="L253" i="1"/>
  <c r="L154" i="1"/>
  <c r="L224" i="1"/>
  <c r="L198" i="1"/>
  <c r="L96" i="1"/>
  <c r="J124" i="2"/>
  <c r="L229" i="1"/>
  <c r="L327" i="1"/>
  <c r="J280" i="2"/>
  <c r="J257" i="2"/>
  <c r="J250" i="2"/>
  <c r="J355" i="2"/>
  <c r="J190" i="2"/>
  <c r="J154" i="2"/>
  <c r="J138" i="2"/>
  <c r="J119" i="2"/>
  <c r="J171" i="2"/>
  <c r="L126" i="1"/>
  <c r="L82" i="1"/>
  <c r="L268" i="1"/>
  <c r="L220" i="1"/>
  <c r="L77" i="1"/>
  <c r="L251" i="1"/>
  <c r="J176" i="2"/>
  <c r="J241" i="2"/>
  <c r="J125" i="2"/>
  <c r="L142" i="1"/>
  <c r="L78" i="1"/>
  <c r="L133" i="1"/>
  <c r="L222" i="1"/>
  <c r="L219" i="1"/>
  <c r="L289" i="1"/>
  <c r="L285" i="1"/>
  <c r="L338" i="1"/>
  <c r="L130" i="1"/>
  <c r="L214" i="1"/>
  <c r="L17" i="1"/>
  <c r="L295" i="1"/>
  <c r="L267" i="1"/>
  <c r="L150" i="1"/>
  <c r="L158" i="1"/>
  <c r="J156" i="2"/>
  <c r="J108" i="2"/>
  <c r="J210" i="2"/>
  <c r="J296" i="2"/>
  <c r="J141" i="2"/>
  <c r="J96" i="2"/>
  <c r="L138" i="1"/>
  <c r="L102" i="1"/>
  <c r="L208" i="1"/>
  <c r="L26" i="1"/>
  <c r="L45" i="1"/>
  <c r="L73" i="1"/>
  <c r="L84" i="1"/>
  <c r="L109" i="1"/>
  <c r="L137" i="1"/>
  <c r="L23" i="1"/>
  <c r="L161" i="1"/>
  <c r="L181" i="1"/>
  <c r="L205" i="1"/>
  <c r="L233" i="1"/>
  <c r="L280" i="1"/>
  <c r="L290" i="1"/>
  <c r="L308" i="1"/>
  <c r="L252" i="1"/>
  <c r="L261" i="1"/>
  <c r="L309" i="1"/>
  <c r="L322" i="1"/>
  <c r="L366" i="1"/>
  <c r="L331" i="1"/>
  <c r="J168" i="2"/>
  <c r="J152" i="2"/>
  <c r="J179" i="2"/>
  <c r="J329" i="2"/>
  <c r="J100" i="2"/>
  <c r="L341" i="1"/>
  <c r="L347" i="1"/>
  <c r="L364" i="1"/>
  <c r="L291" i="1"/>
  <c r="L249" i="1"/>
  <c r="L8" i="1"/>
  <c r="L166" i="1"/>
  <c r="L232" i="1"/>
  <c r="L149" i="1"/>
  <c r="L292" i="1"/>
  <c r="L318" i="1"/>
  <c r="L326" i="1"/>
  <c r="L340" i="1"/>
  <c r="L358" i="1"/>
  <c r="L135" i="1"/>
  <c r="L317" i="1"/>
  <c r="L30" i="1"/>
  <c r="L367" i="1"/>
  <c r="L20" i="1"/>
  <c r="L323" i="1"/>
  <c r="L212" i="1"/>
  <c r="L128" i="1"/>
  <c r="L35" i="1"/>
  <c r="L305" i="1"/>
  <c r="L103" i="1"/>
  <c r="L63" i="1"/>
  <c r="L122" i="1"/>
  <c r="L352" i="1"/>
  <c r="L91" i="1"/>
  <c r="L200" i="1"/>
  <c r="L185" i="1"/>
  <c r="L262" i="1"/>
  <c r="L68" i="1"/>
  <c r="L147" i="1"/>
  <c r="L74" i="1"/>
  <c r="L67" i="1"/>
  <c r="L354" i="1"/>
  <c r="L22" i="1"/>
  <c r="L120" i="1"/>
  <c r="L160" i="1"/>
  <c r="L39" i="1"/>
  <c r="L12" i="1"/>
  <c r="L76" i="1"/>
  <c r="L112" i="1"/>
  <c r="L173" i="1"/>
  <c r="L221" i="1"/>
  <c r="L171" i="1"/>
  <c r="L334" i="1"/>
  <c r="L90" i="1"/>
  <c r="L255" i="1"/>
  <c r="L353" i="1"/>
  <c r="L92" i="1"/>
  <c r="L274" i="1"/>
  <c r="L99" i="1"/>
  <c r="L118" i="1"/>
  <c r="L169" i="1"/>
  <c r="L69" i="1"/>
  <c r="L106" i="1"/>
  <c r="L151" i="1"/>
  <c r="L159" i="1"/>
  <c r="L52" i="1"/>
  <c r="L199" i="1"/>
  <c r="L336" i="1"/>
  <c r="L315" i="1"/>
  <c r="L264" i="1"/>
  <c r="L134" i="1"/>
  <c r="L187" i="1"/>
  <c r="L210" i="1"/>
  <c r="L240" i="1"/>
  <c r="L37" i="1"/>
  <c r="L270" i="1"/>
  <c r="L293" i="1"/>
  <c r="L365" i="1"/>
  <c r="L324" i="1"/>
  <c r="L259" i="1"/>
  <c r="L312" i="1"/>
  <c r="L115" i="1"/>
  <c r="L72" i="1"/>
  <c r="L227" i="1"/>
  <c r="L36" i="1"/>
  <c r="L85" i="1"/>
  <c r="L38" i="1"/>
  <c r="L146" i="1"/>
  <c r="L360" i="1"/>
  <c r="L98" i="1"/>
  <c r="L278" i="1"/>
  <c r="L288" i="1"/>
  <c r="L10" i="1"/>
  <c r="L93" i="1"/>
  <c r="L183" i="1"/>
  <c r="L191" i="1"/>
  <c r="L218" i="1"/>
  <c r="L225" i="1"/>
  <c r="L248" i="1"/>
  <c r="L320" i="1"/>
  <c r="L344" i="1"/>
  <c r="L211" i="1"/>
  <c r="L297" i="1"/>
  <c r="L94" i="1"/>
  <c r="L64" i="1"/>
  <c r="L179" i="1"/>
  <c r="L190" i="1"/>
  <c r="L14" i="1"/>
  <c r="L155" i="1"/>
</calcChain>
</file>

<file path=xl/sharedStrings.xml><?xml version="1.0" encoding="utf-8"?>
<sst xmlns="http://schemas.openxmlformats.org/spreadsheetml/2006/main" count="63" uniqueCount="21">
  <si>
    <t>Date</t>
  </si>
  <si>
    <t>Temps de fonctionnement prévu (heures)</t>
  </si>
  <si>
    <t>Temps d'arrêt planifié (heures)</t>
  </si>
  <si>
    <t>Temps d'arrêt non planifié (heures)</t>
  </si>
  <si>
    <t>Vitesse de production théorique (unités/heure)</t>
  </si>
  <si>
    <t>Vitesse de production réelle (unités/heure)</t>
  </si>
  <si>
    <t>Nombre total d'unités produites</t>
  </si>
  <si>
    <t>Nombre d'unités défectueuses</t>
  </si>
  <si>
    <t>Disponibilité</t>
  </si>
  <si>
    <t>Performance</t>
  </si>
  <si>
    <t>Qualité</t>
  </si>
  <si>
    <t>TRG</t>
  </si>
  <si>
    <t xml:space="preserve"> Calcul de la Performance</t>
  </si>
  <si>
    <t xml:space="preserve">Calculer la disponibilité </t>
  </si>
  <si>
    <t>= Vitesse de production réelle / Vitesse de production théorique</t>
  </si>
  <si>
    <t>= (Temps de fonctionnement prévu - Temps d'arrêt planifié - Temps d'arrêt non planifié) / (Temps de fonctionnement prévu - Temps d'arrêt planifié)</t>
  </si>
  <si>
    <t>Calcul de la Qualité</t>
  </si>
  <si>
    <t>= (Nombre total d'unités produites - Nombre d'unités défectueuses) / Nombre total d'unités produites</t>
  </si>
  <si>
    <t>Calcul du TRG</t>
  </si>
  <si>
    <t>= Disponibilité * Performance * Qualité</t>
  </si>
  <si>
    <t>Taux de Rendement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</si>
</sst>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quotePrefix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9">
    <dxf>
      <numFmt numFmtId="2" formatCode="0.00"/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35F40C-045E-4E4A-BEB4-C2CD2960D030}" name="Tableau2" displayName="Tableau2" ref="A7:J373" totalsRowShown="0" headerRowDxfId="8" dataDxfId="7">
  <autoFilter ref="A7:J373" xr:uid="{C135F40C-045E-4E4A-BEB4-C2CD2960D030}"/>
  <tableColumns count="10">
    <tableColumn id="1" xr3:uid="{CC0A2974-B2E2-47AA-9AA6-3024E4D753C8}" name="Date" dataDxfId="6"/>
    <tableColumn id="2" xr3:uid="{8CE95535-B4DB-411F-A624-36618FA1F155}" name="Temps d'arrêt planifié (heures)" dataDxfId="5"/>
    <tableColumn id="3" xr3:uid="{AFD21BB0-DC28-4E3A-B112-85B60A712A7A}" name="Temps d'arrêt non planifié (heures)" dataDxfId="4"/>
    <tableColumn id="4" xr3:uid="{D731FADE-E328-476B-8488-8B22E8507466}" name="Vitesse de production réelle (unités/heure)"/>
    <tableColumn id="5" xr3:uid="{C07D2068-22B2-4D4D-B53F-E9B7FCD7F68E}" name="Nombre total d'unités produites"/>
    <tableColumn id="6" xr3:uid="{68A68100-C597-405F-A999-6A391396B428}" name="Nombre d'unités défectueuses"/>
    <tableColumn id="7" xr3:uid="{0DDB9757-B50E-418C-84BF-9A4B30F5ABD5}" name="Disponibilité" dataDxfId="3">
      <calculatedColumnFormula>($G$3-Tableau2[[#This Row],[Temps d''arrêt planifié (heures)]]-Tableau2[[#This Row],[Temps d''arrêt non planifié (heures)]])/($G$3-Tableau2[[#This Row],[Temps d''arrêt planifié (heures)]])</calculatedColumnFormula>
    </tableColumn>
    <tableColumn id="8" xr3:uid="{B3200E47-6EB3-48EC-9874-290F00E7DC7F}" name="Performance" dataDxfId="2">
      <calculatedColumnFormula>Tableau2[[#This Row],[Vitesse de production réelle (unités/heure)]]/$G$4</calculatedColumnFormula>
    </tableColumn>
    <tableColumn id="9" xr3:uid="{A7DFA97C-ACD7-414E-BA23-7340BAFE6D35}" name="Qualité" dataDxfId="1">
      <calculatedColumnFormula>(Tableau2[[#This Row],[Nombre total d''unités produites]]-Tableau2[[#This Row],[Nombre d''unités défectueuses]])/Tableau2[[#This Row],[Nombre total d''unités produites]]</calculatedColumnFormula>
    </tableColumn>
    <tableColumn id="10" xr3:uid="{72D5F1FB-FA7C-4A90-B33D-18086F5E37C9}" name="TRG" dataDxfId="0">
      <calculatedColumnFormula>Tableau2[[#This Row],[Disponibilité]]*Tableau2[[#This Row],[Performance]]*Tableau2[[#This Row],[Qualité]]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9AB8-2000-4762-90CD-B113A570E528}">
  <dimension ref="A1:P416"/>
  <sheetViews>
    <sheetView workbookViewId="0">
      <selection activeCell="I5" sqref="I5"/>
    </sheetView>
  </sheetViews>
  <sheetFormatPr baseColWidth="10" defaultRowHeight="14.4" x14ac:dyDescent="0.3"/>
  <sheetData>
    <row r="1" spans="1:16" ht="23.4" x14ac:dyDescent="0.45">
      <c r="A1" s="10" t="s">
        <v>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4" spans="1:16" ht="72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</row>
    <row r="5" spans="1:16" x14ac:dyDescent="0.3">
      <c r="A5" s="2">
        <v>45292</v>
      </c>
      <c r="B5" s="3">
        <v>24</v>
      </c>
      <c r="C5" s="3">
        <v>3</v>
      </c>
      <c r="D5" s="3">
        <v>3</v>
      </c>
      <c r="E5" s="3">
        <v>100</v>
      </c>
      <c r="F5" s="3">
        <v>90</v>
      </c>
      <c r="G5" s="3">
        <v>2000</v>
      </c>
      <c r="H5" s="3">
        <v>50</v>
      </c>
      <c r="I5" s="4">
        <f>(B5-C5-D5)/(B5-C5)</f>
        <v>0.8571428571428571</v>
      </c>
      <c r="J5" s="3">
        <f>F5/E5</f>
        <v>0.9</v>
      </c>
      <c r="K5" s="4">
        <f>(G5-H5)/G5</f>
        <v>0.97499999999999998</v>
      </c>
      <c r="L5" s="4">
        <f>I5*J5*K5</f>
        <v>0.752142857142857</v>
      </c>
    </row>
    <row r="6" spans="1:16" x14ac:dyDescent="0.3">
      <c r="A6" s="2">
        <v>45293</v>
      </c>
      <c r="B6" s="3">
        <v>24</v>
      </c>
      <c r="C6" s="3">
        <v>3</v>
      </c>
      <c r="D6" s="3">
        <v>1</v>
      </c>
      <c r="E6" s="3">
        <v>100</v>
      </c>
      <c r="F6" s="3">
        <v>85</v>
      </c>
      <c r="G6" s="3">
        <v>1800</v>
      </c>
      <c r="H6" s="3">
        <v>40</v>
      </c>
      <c r="I6" s="4">
        <f t="shared" ref="I6:I7" si="0">(B6-C6-D6)/(B6-C6)</f>
        <v>0.95238095238095233</v>
      </c>
      <c r="J6" s="3">
        <f t="shared" ref="J6:J7" si="1">F6/E6</f>
        <v>0.85</v>
      </c>
      <c r="K6" s="4">
        <f t="shared" ref="K6:K7" si="2">(G6-H6)/G6</f>
        <v>0.97777777777777775</v>
      </c>
      <c r="L6" s="4">
        <f t="shared" ref="L6:L7" si="3">I6*J6*K6</f>
        <v>0.79153439153439142</v>
      </c>
    </row>
    <row r="7" spans="1:16" x14ac:dyDescent="0.3">
      <c r="A7" s="2">
        <v>45294</v>
      </c>
      <c r="B7" s="3">
        <v>24</v>
      </c>
      <c r="C7" s="3">
        <v>3</v>
      </c>
      <c r="D7" s="3">
        <v>3</v>
      </c>
      <c r="E7" s="3">
        <v>100</v>
      </c>
      <c r="F7" s="3">
        <v>95</v>
      </c>
      <c r="G7" s="3">
        <v>2200</v>
      </c>
      <c r="H7" s="3">
        <v>30</v>
      </c>
      <c r="I7" s="4">
        <f t="shared" si="0"/>
        <v>0.8571428571428571</v>
      </c>
      <c r="J7" s="3">
        <f t="shared" si="1"/>
        <v>0.95</v>
      </c>
      <c r="K7" s="4">
        <f t="shared" si="2"/>
        <v>0.98636363636363633</v>
      </c>
      <c r="L7" s="4">
        <f t="shared" si="3"/>
        <v>0.803181818181818</v>
      </c>
      <c r="N7" s="9" t="s">
        <v>13</v>
      </c>
      <c r="O7" s="9"/>
      <c r="P7" s="5" t="s">
        <v>15</v>
      </c>
    </row>
    <row r="8" spans="1:16" x14ac:dyDescent="0.3">
      <c r="A8" s="2">
        <v>45295</v>
      </c>
      <c r="B8" s="3">
        <v>24</v>
      </c>
      <c r="C8" s="3">
        <v>1</v>
      </c>
      <c r="D8" s="3">
        <v>2</v>
      </c>
      <c r="E8" s="3">
        <v>100</v>
      </c>
      <c r="F8">
        <v>94</v>
      </c>
      <c r="G8">
        <v>1702</v>
      </c>
      <c r="H8">
        <v>57</v>
      </c>
      <c r="I8" s="4">
        <f t="shared" ref="I8:I14" si="4">(B8-C8-D8)/(B8-C8)</f>
        <v>0.91304347826086951</v>
      </c>
      <c r="J8" s="3">
        <f t="shared" ref="J8:J14" si="5">F8/E8</f>
        <v>0.94</v>
      </c>
      <c r="K8" s="4">
        <f t="shared" ref="K8:K14" si="6">(G8-H8)/G8</f>
        <v>0.96650998824911871</v>
      </c>
      <c r="L8" s="4">
        <f t="shared" ref="L8:L14" si="7">I8*J8*K8</f>
        <v>0.82951770295815663</v>
      </c>
      <c r="N8" s="9" t="s">
        <v>12</v>
      </c>
      <c r="O8" s="9"/>
      <c r="P8" s="5" t="s">
        <v>14</v>
      </c>
    </row>
    <row r="9" spans="1:16" x14ac:dyDescent="0.3">
      <c r="A9" s="2">
        <v>45296</v>
      </c>
      <c r="B9" s="3">
        <v>24</v>
      </c>
      <c r="C9" s="3">
        <v>2</v>
      </c>
      <c r="D9" s="3">
        <v>2</v>
      </c>
      <c r="E9" s="3">
        <v>100</v>
      </c>
      <c r="F9">
        <v>81</v>
      </c>
      <c r="G9">
        <v>1879</v>
      </c>
      <c r="H9">
        <v>31</v>
      </c>
      <c r="I9" s="4">
        <f t="shared" si="4"/>
        <v>0.90909090909090906</v>
      </c>
      <c r="J9" s="3">
        <f t="shared" si="5"/>
        <v>0.81</v>
      </c>
      <c r="K9" s="4">
        <f t="shared" si="6"/>
        <v>0.98350186269292172</v>
      </c>
      <c r="L9" s="4">
        <f t="shared" si="7"/>
        <v>0.72421500798296967</v>
      </c>
      <c r="N9" s="9" t="s">
        <v>16</v>
      </c>
      <c r="O9" s="9"/>
      <c r="P9" s="5" t="s">
        <v>17</v>
      </c>
    </row>
    <row r="10" spans="1:16" x14ac:dyDescent="0.3">
      <c r="A10" s="2">
        <v>45297</v>
      </c>
      <c r="B10" s="3">
        <v>24</v>
      </c>
      <c r="C10" s="3">
        <v>1</v>
      </c>
      <c r="D10" s="3">
        <v>1</v>
      </c>
      <c r="E10" s="3">
        <v>100</v>
      </c>
      <c r="F10">
        <v>80</v>
      </c>
      <c r="G10">
        <v>2037</v>
      </c>
      <c r="H10">
        <v>20</v>
      </c>
      <c r="I10" s="4">
        <f t="shared" si="4"/>
        <v>0.95652173913043481</v>
      </c>
      <c r="J10" s="3">
        <f t="shared" si="5"/>
        <v>0.8</v>
      </c>
      <c r="K10" s="4">
        <f t="shared" si="6"/>
        <v>0.99018163966617578</v>
      </c>
      <c r="L10" s="4">
        <f t="shared" si="7"/>
        <v>0.75770421122281284</v>
      </c>
      <c r="N10" s="9" t="s">
        <v>18</v>
      </c>
      <c r="O10" s="9"/>
      <c r="P10" s="5" t="s">
        <v>19</v>
      </c>
    </row>
    <row r="11" spans="1:16" x14ac:dyDescent="0.3">
      <c r="A11" s="2">
        <v>45298</v>
      </c>
      <c r="B11" s="3">
        <v>24</v>
      </c>
      <c r="C11" s="3">
        <v>1</v>
      </c>
      <c r="D11" s="3">
        <v>2</v>
      </c>
      <c r="E11" s="3">
        <v>100</v>
      </c>
      <c r="F11">
        <v>89</v>
      </c>
      <c r="G11">
        <v>1881</v>
      </c>
      <c r="H11">
        <v>44</v>
      </c>
      <c r="I11" s="4">
        <f t="shared" si="4"/>
        <v>0.91304347826086951</v>
      </c>
      <c r="J11" s="3">
        <f t="shared" si="5"/>
        <v>0.89</v>
      </c>
      <c r="K11" s="4">
        <f t="shared" si="6"/>
        <v>0.97660818713450293</v>
      </c>
      <c r="L11" s="4">
        <f t="shared" si="7"/>
        <v>0.79360030511060253</v>
      </c>
    </row>
    <row r="12" spans="1:16" x14ac:dyDescent="0.3">
      <c r="A12" s="2">
        <v>45299</v>
      </c>
      <c r="B12" s="3">
        <v>24</v>
      </c>
      <c r="C12" s="3">
        <v>3</v>
      </c>
      <c r="D12" s="3">
        <v>3</v>
      </c>
      <c r="E12" s="3">
        <v>100</v>
      </c>
      <c r="F12">
        <v>82</v>
      </c>
      <c r="G12">
        <v>2096</v>
      </c>
      <c r="H12">
        <v>52</v>
      </c>
      <c r="I12" s="4">
        <f t="shared" si="4"/>
        <v>0.8571428571428571</v>
      </c>
      <c r="J12" s="3">
        <f t="shared" si="5"/>
        <v>0.82</v>
      </c>
      <c r="K12" s="4">
        <f t="shared" si="6"/>
        <v>0.97519083969465647</v>
      </c>
      <c r="L12" s="4">
        <f t="shared" si="7"/>
        <v>0.68541984732824413</v>
      </c>
    </row>
    <row r="13" spans="1:16" x14ac:dyDescent="0.3">
      <c r="A13" s="2">
        <v>45300</v>
      </c>
      <c r="B13" s="3">
        <v>24</v>
      </c>
      <c r="C13" s="3">
        <v>2</v>
      </c>
      <c r="D13" s="3">
        <v>3</v>
      </c>
      <c r="E13" s="3">
        <v>100</v>
      </c>
      <c r="F13">
        <v>88</v>
      </c>
      <c r="G13">
        <v>2065</v>
      </c>
      <c r="H13">
        <v>53</v>
      </c>
      <c r="I13" s="4">
        <f t="shared" si="4"/>
        <v>0.86363636363636365</v>
      </c>
      <c r="J13" s="3">
        <f t="shared" si="5"/>
        <v>0.88</v>
      </c>
      <c r="K13" s="4">
        <f t="shared" si="6"/>
        <v>0.97433414043583533</v>
      </c>
      <c r="L13" s="4">
        <f t="shared" si="7"/>
        <v>0.74049394673123481</v>
      </c>
    </row>
    <row r="14" spans="1:16" x14ac:dyDescent="0.3">
      <c r="A14" s="2">
        <v>45301</v>
      </c>
      <c r="B14" s="3">
        <v>24</v>
      </c>
      <c r="C14" s="3">
        <v>1</v>
      </c>
      <c r="D14" s="3">
        <v>2</v>
      </c>
      <c r="E14" s="3">
        <v>100</v>
      </c>
      <c r="F14">
        <v>90</v>
      </c>
      <c r="G14">
        <v>1961</v>
      </c>
      <c r="H14">
        <v>58</v>
      </c>
      <c r="I14" s="4">
        <f t="shared" si="4"/>
        <v>0.91304347826086951</v>
      </c>
      <c r="J14" s="3">
        <f t="shared" si="5"/>
        <v>0.9</v>
      </c>
      <c r="K14" s="4">
        <f t="shared" si="6"/>
        <v>0.97042325344212133</v>
      </c>
      <c r="L14" s="4">
        <f t="shared" si="7"/>
        <v>0.79743476043722139</v>
      </c>
    </row>
    <row r="15" spans="1:16" x14ac:dyDescent="0.3">
      <c r="A15" s="2">
        <v>45302</v>
      </c>
      <c r="B15" s="3">
        <v>24</v>
      </c>
      <c r="C15" s="3">
        <v>3</v>
      </c>
      <c r="D15" s="3">
        <v>2</v>
      </c>
      <c r="E15" s="3">
        <v>100</v>
      </c>
      <c r="F15">
        <v>90</v>
      </c>
      <c r="G15">
        <v>1913</v>
      </c>
      <c r="H15">
        <v>35</v>
      </c>
      <c r="I15" s="4">
        <f t="shared" ref="I15:I78" si="8">(B15-C15-D15)/(B15-C15)</f>
        <v>0.90476190476190477</v>
      </c>
      <c r="J15" s="3">
        <f t="shared" ref="J15:J78" si="9">F15/E15</f>
        <v>0.9</v>
      </c>
      <c r="K15" s="4">
        <f t="shared" ref="K15:K78" si="10">(G15-H15)/G15</f>
        <v>0.98170412963930997</v>
      </c>
      <c r="L15" s="4">
        <f t="shared" ref="L15:L78" si="11">I15*J15*K15</f>
        <v>0.79938764842058097</v>
      </c>
    </row>
    <row r="16" spans="1:16" x14ac:dyDescent="0.3">
      <c r="A16" s="2">
        <v>45303</v>
      </c>
      <c r="B16" s="3">
        <v>24</v>
      </c>
      <c r="C16" s="3">
        <v>1</v>
      </c>
      <c r="D16" s="3">
        <v>1</v>
      </c>
      <c r="E16" s="3">
        <v>100</v>
      </c>
      <c r="F16">
        <v>89</v>
      </c>
      <c r="G16">
        <v>2239</v>
      </c>
      <c r="H16">
        <v>39</v>
      </c>
      <c r="I16" s="4">
        <f t="shared" si="8"/>
        <v>0.95652173913043481</v>
      </c>
      <c r="J16" s="3">
        <f t="shared" si="9"/>
        <v>0.89</v>
      </c>
      <c r="K16" s="4">
        <f t="shared" si="10"/>
        <v>0.98258150960250112</v>
      </c>
      <c r="L16" s="4">
        <f t="shared" si="11"/>
        <v>0.83647591121812925</v>
      </c>
    </row>
    <row r="17" spans="1:12" x14ac:dyDescent="0.3">
      <c r="A17" s="2">
        <v>45304</v>
      </c>
      <c r="B17" s="3">
        <v>24</v>
      </c>
      <c r="C17" s="3">
        <v>2</v>
      </c>
      <c r="D17" s="3">
        <v>3</v>
      </c>
      <c r="E17" s="3">
        <v>100</v>
      </c>
      <c r="F17">
        <v>85</v>
      </c>
      <c r="G17">
        <v>1963</v>
      </c>
      <c r="H17">
        <v>28</v>
      </c>
      <c r="I17" s="4">
        <f t="shared" si="8"/>
        <v>0.86363636363636365</v>
      </c>
      <c r="J17" s="3">
        <f t="shared" si="9"/>
        <v>0.85</v>
      </c>
      <c r="K17" s="4">
        <f t="shared" si="10"/>
        <v>0.98573611818644935</v>
      </c>
      <c r="L17" s="4">
        <f t="shared" si="11"/>
        <v>0.72361992312323442</v>
      </c>
    </row>
    <row r="18" spans="1:12" x14ac:dyDescent="0.3">
      <c r="A18" s="2">
        <v>45305</v>
      </c>
      <c r="B18" s="3">
        <v>24</v>
      </c>
      <c r="C18" s="3">
        <v>1</v>
      </c>
      <c r="D18" s="3">
        <v>1</v>
      </c>
      <c r="E18" s="3">
        <v>100</v>
      </c>
      <c r="F18">
        <v>95</v>
      </c>
      <c r="G18">
        <v>2030</v>
      </c>
      <c r="H18">
        <v>44</v>
      </c>
      <c r="I18" s="4">
        <f t="shared" si="8"/>
        <v>0.95652173913043481</v>
      </c>
      <c r="J18" s="3">
        <f t="shared" si="9"/>
        <v>0.95</v>
      </c>
      <c r="K18" s="4">
        <f t="shared" si="10"/>
        <v>0.97832512315270936</v>
      </c>
      <c r="L18" s="4">
        <f t="shared" si="11"/>
        <v>0.88899978582137495</v>
      </c>
    </row>
    <row r="19" spans="1:12" x14ac:dyDescent="0.3">
      <c r="A19" s="2">
        <v>45306</v>
      </c>
      <c r="B19" s="3">
        <v>24</v>
      </c>
      <c r="C19" s="3">
        <v>1</v>
      </c>
      <c r="D19" s="3">
        <v>3</v>
      </c>
      <c r="E19" s="3">
        <v>100</v>
      </c>
      <c r="F19">
        <v>94</v>
      </c>
      <c r="G19">
        <v>2267</v>
      </c>
      <c r="H19">
        <v>30</v>
      </c>
      <c r="I19" s="4">
        <f t="shared" si="8"/>
        <v>0.86956521739130432</v>
      </c>
      <c r="J19" s="3">
        <f t="shared" si="9"/>
        <v>0.94</v>
      </c>
      <c r="K19" s="4">
        <f t="shared" si="10"/>
        <v>0.98676665196294666</v>
      </c>
      <c r="L19" s="4">
        <f t="shared" si="11"/>
        <v>0.80657448073493021</v>
      </c>
    </row>
    <row r="20" spans="1:12" x14ac:dyDescent="0.3">
      <c r="A20" s="2">
        <v>45307</v>
      </c>
      <c r="B20" s="3">
        <v>24</v>
      </c>
      <c r="C20" s="3">
        <v>2</v>
      </c>
      <c r="D20" s="3">
        <v>2</v>
      </c>
      <c r="E20" s="3">
        <v>100</v>
      </c>
      <c r="F20">
        <v>83</v>
      </c>
      <c r="G20">
        <v>2161</v>
      </c>
      <c r="H20">
        <v>42</v>
      </c>
      <c r="I20" s="4">
        <f t="shared" si="8"/>
        <v>0.90909090909090906</v>
      </c>
      <c r="J20" s="3">
        <f t="shared" si="9"/>
        <v>0.83</v>
      </c>
      <c r="K20" s="4">
        <f t="shared" si="10"/>
        <v>0.98056455344747806</v>
      </c>
      <c r="L20" s="4">
        <f t="shared" si="11"/>
        <v>0.73988052669218796</v>
      </c>
    </row>
    <row r="21" spans="1:12" x14ac:dyDescent="0.3">
      <c r="A21" s="2">
        <v>45308</v>
      </c>
      <c r="B21" s="3">
        <v>24</v>
      </c>
      <c r="C21" s="3">
        <v>2</v>
      </c>
      <c r="D21" s="3">
        <v>3</v>
      </c>
      <c r="E21" s="3">
        <v>100</v>
      </c>
      <c r="F21">
        <v>96</v>
      </c>
      <c r="G21">
        <v>2126</v>
      </c>
      <c r="H21">
        <v>56</v>
      </c>
      <c r="I21" s="4">
        <f t="shared" si="8"/>
        <v>0.86363636363636365</v>
      </c>
      <c r="J21" s="3">
        <f t="shared" si="9"/>
        <v>0.96</v>
      </c>
      <c r="K21" s="4">
        <f t="shared" si="10"/>
        <v>0.97365945437441204</v>
      </c>
      <c r="L21" s="4">
        <f t="shared" si="11"/>
        <v>0.80725220217223981</v>
      </c>
    </row>
    <row r="22" spans="1:12" x14ac:dyDescent="0.3">
      <c r="A22" s="2">
        <v>45309</v>
      </c>
      <c r="B22" s="3">
        <v>24</v>
      </c>
      <c r="C22" s="3">
        <v>2</v>
      </c>
      <c r="D22" s="3">
        <v>3</v>
      </c>
      <c r="E22" s="3">
        <v>100</v>
      </c>
      <c r="F22">
        <v>87</v>
      </c>
      <c r="G22">
        <v>1926</v>
      </c>
      <c r="H22">
        <v>50</v>
      </c>
      <c r="I22" s="4">
        <f t="shared" si="8"/>
        <v>0.86363636363636365</v>
      </c>
      <c r="J22" s="3">
        <f t="shared" si="9"/>
        <v>0.87</v>
      </c>
      <c r="K22" s="4">
        <f t="shared" si="10"/>
        <v>0.97403946002076847</v>
      </c>
      <c r="L22" s="4">
        <f t="shared" si="11"/>
        <v>0.73185783064287735</v>
      </c>
    </row>
    <row r="23" spans="1:12" x14ac:dyDescent="0.3">
      <c r="A23" s="2">
        <v>45310</v>
      </c>
      <c r="B23" s="3">
        <v>24</v>
      </c>
      <c r="C23" s="3">
        <v>2</v>
      </c>
      <c r="D23" s="3">
        <v>1</v>
      </c>
      <c r="E23" s="3">
        <v>100</v>
      </c>
      <c r="F23">
        <v>83</v>
      </c>
      <c r="G23">
        <v>2231</v>
      </c>
      <c r="H23">
        <v>23</v>
      </c>
      <c r="I23" s="4">
        <f t="shared" si="8"/>
        <v>0.95454545454545459</v>
      </c>
      <c r="J23" s="3">
        <f t="shared" si="9"/>
        <v>0.83</v>
      </c>
      <c r="K23" s="4">
        <f t="shared" si="10"/>
        <v>0.98969072164948457</v>
      </c>
      <c r="L23" s="4">
        <f t="shared" si="11"/>
        <v>0.78410496719775069</v>
      </c>
    </row>
    <row r="24" spans="1:12" x14ac:dyDescent="0.3">
      <c r="A24" s="2">
        <v>45311</v>
      </c>
      <c r="B24" s="3">
        <v>24</v>
      </c>
      <c r="C24" s="3">
        <v>1</v>
      </c>
      <c r="D24" s="3">
        <v>1</v>
      </c>
      <c r="E24" s="3">
        <v>100</v>
      </c>
      <c r="F24">
        <v>97</v>
      </c>
      <c r="G24">
        <v>2122</v>
      </c>
      <c r="H24">
        <v>33</v>
      </c>
      <c r="I24" s="4">
        <f t="shared" si="8"/>
        <v>0.95652173913043481</v>
      </c>
      <c r="J24" s="3">
        <f t="shared" si="9"/>
        <v>0.97</v>
      </c>
      <c r="K24" s="4">
        <f t="shared" si="10"/>
        <v>0.98444863336475019</v>
      </c>
      <c r="L24" s="4">
        <f t="shared" si="11"/>
        <v>0.91339712330451162</v>
      </c>
    </row>
    <row r="25" spans="1:12" x14ac:dyDescent="0.3">
      <c r="A25" s="2">
        <v>45312</v>
      </c>
      <c r="B25" s="3">
        <v>24</v>
      </c>
      <c r="C25" s="3">
        <v>1</v>
      </c>
      <c r="D25" s="3">
        <v>2</v>
      </c>
      <c r="E25" s="3">
        <v>100</v>
      </c>
      <c r="F25">
        <v>99</v>
      </c>
      <c r="G25">
        <v>2212</v>
      </c>
      <c r="H25">
        <v>48</v>
      </c>
      <c r="I25" s="4">
        <f t="shared" si="8"/>
        <v>0.91304347826086951</v>
      </c>
      <c r="J25" s="3">
        <f t="shared" si="9"/>
        <v>0.99</v>
      </c>
      <c r="K25" s="4">
        <f t="shared" si="10"/>
        <v>0.97830018083182635</v>
      </c>
      <c r="L25" s="4">
        <f t="shared" si="11"/>
        <v>0.8842982938910291</v>
      </c>
    </row>
    <row r="26" spans="1:12" x14ac:dyDescent="0.3">
      <c r="A26" s="2">
        <v>45313</v>
      </c>
      <c r="B26" s="3">
        <v>24</v>
      </c>
      <c r="C26" s="3">
        <v>2</v>
      </c>
      <c r="D26" s="3">
        <v>1</v>
      </c>
      <c r="E26" s="3">
        <v>100</v>
      </c>
      <c r="F26">
        <v>83</v>
      </c>
      <c r="G26">
        <v>1787</v>
      </c>
      <c r="H26">
        <v>55</v>
      </c>
      <c r="I26" s="4">
        <f t="shared" si="8"/>
        <v>0.95454545454545459</v>
      </c>
      <c r="J26" s="3">
        <f t="shared" si="9"/>
        <v>0.83</v>
      </c>
      <c r="K26" s="4">
        <f t="shared" si="10"/>
        <v>0.9692221600447678</v>
      </c>
      <c r="L26" s="4">
        <f t="shared" si="11"/>
        <v>0.76788828407183196</v>
      </c>
    </row>
    <row r="27" spans="1:12" x14ac:dyDescent="0.3">
      <c r="A27" s="2">
        <v>45314</v>
      </c>
      <c r="B27" s="3">
        <v>24</v>
      </c>
      <c r="C27" s="3">
        <v>1</v>
      </c>
      <c r="D27" s="3">
        <v>2</v>
      </c>
      <c r="E27" s="3">
        <v>100</v>
      </c>
      <c r="F27">
        <v>91</v>
      </c>
      <c r="G27">
        <v>1776</v>
      </c>
      <c r="H27">
        <v>31</v>
      </c>
      <c r="I27" s="4">
        <f t="shared" si="8"/>
        <v>0.91304347826086951</v>
      </c>
      <c r="J27" s="3">
        <f t="shared" si="9"/>
        <v>0.91</v>
      </c>
      <c r="K27" s="4">
        <f t="shared" si="10"/>
        <v>0.98254504504504503</v>
      </c>
      <c r="L27" s="4">
        <f t="shared" si="11"/>
        <v>0.8163667743830787</v>
      </c>
    </row>
    <row r="28" spans="1:12" x14ac:dyDescent="0.3">
      <c r="A28" s="2">
        <v>45315</v>
      </c>
      <c r="B28" s="3">
        <v>24</v>
      </c>
      <c r="C28" s="3">
        <v>1</v>
      </c>
      <c r="D28" s="3">
        <v>2</v>
      </c>
      <c r="E28" s="3">
        <v>100</v>
      </c>
      <c r="F28">
        <v>93</v>
      </c>
      <c r="G28">
        <v>2212</v>
      </c>
      <c r="H28">
        <v>51</v>
      </c>
      <c r="I28" s="4">
        <f t="shared" si="8"/>
        <v>0.91304347826086951</v>
      </c>
      <c r="J28" s="3">
        <f t="shared" si="9"/>
        <v>0.93</v>
      </c>
      <c r="K28" s="4">
        <f t="shared" si="10"/>
        <v>0.97694394213381552</v>
      </c>
      <c r="L28" s="4">
        <f t="shared" si="11"/>
        <v>0.82955283434232252</v>
      </c>
    </row>
    <row r="29" spans="1:12" x14ac:dyDescent="0.3">
      <c r="A29" s="2">
        <v>45316</v>
      </c>
      <c r="B29" s="3">
        <v>24</v>
      </c>
      <c r="C29" s="3">
        <v>3</v>
      </c>
      <c r="D29" s="3">
        <v>3</v>
      </c>
      <c r="E29" s="3">
        <v>100</v>
      </c>
      <c r="F29">
        <v>90</v>
      </c>
      <c r="G29">
        <v>2269</v>
      </c>
      <c r="H29">
        <v>49</v>
      </c>
      <c r="I29" s="4">
        <f t="shared" si="8"/>
        <v>0.8571428571428571</v>
      </c>
      <c r="J29" s="3">
        <f t="shared" si="9"/>
        <v>0.9</v>
      </c>
      <c r="K29" s="4">
        <f t="shared" si="10"/>
        <v>0.9784045835169678</v>
      </c>
      <c r="L29" s="4">
        <f t="shared" si="11"/>
        <v>0.75476925014166085</v>
      </c>
    </row>
    <row r="30" spans="1:12" x14ac:dyDescent="0.3">
      <c r="A30" s="2">
        <v>45317</v>
      </c>
      <c r="B30" s="3">
        <v>24</v>
      </c>
      <c r="C30" s="3">
        <v>3</v>
      </c>
      <c r="D30" s="3">
        <v>1</v>
      </c>
      <c r="E30" s="3">
        <v>100</v>
      </c>
      <c r="F30">
        <v>96</v>
      </c>
      <c r="G30">
        <v>2095</v>
      </c>
      <c r="H30">
        <v>27</v>
      </c>
      <c r="I30" s="4">
        <f t="shared" si="8"/>
        <v>0.95238095238095233</v>
      </c>
      <c r="J30" s="3">
        <f t="shared" si="9"/>
        <v>0.96</v>
      </c>
      <c r="K30" s="4">
        <f t="shared" si="10"/>
        <v>0.98711217183770883</v>
      </c>
      <c r="L30" s="4">
        <f t="shared" si="11"/>
        <v>0.90250255710876226</v>
      </c>
    </row>
    <row r="31" spans="1:12" x14ac:dyDescent="0.3">
      <c r="A31" s="2">
        <v>45318</v>
      </c>
      <c r="B31" s="3">
        <v>24</v>
      </c>
      <c r="C31" s="3">
        <v>2</v>
      </c>
      <c r="D31" s="3">
        <v>2</v>
      </c>
      <c r="E31" s="3">
        <v>100</v>
      </c>
      <c r="F31">
        <v>97</v>
      </c>
      <c r="G31">
        <v>2276</v>
      </c>
      <c r="H31">
        <v>23</v>
      </c>
      <c r="I31" s="4">
        <f t="shared" si="8"/>
        <v>0.90909090909090906</v>
      </c>
      <c r="J31" s="3">
        <f t="shared" si="9"/>
        <v>0.97</v>
      </c>
      <c r="K31" s="4">
        <f t="shared" si="10"/>
        <v>0.9898945518453427</v>
      </c>
      <c r="L31" s="4">
        <f t="shared" si="11"/>
        <v>0.87290701389998393</v>
      </c>
    </row>
    <row r="32" spans="1:12" x14ac:dyDescent="0.3">
      <c r="A32" s="2">
        <v>45319</v>
      </c>
      <c r="B32" s="3">
        <v>24</v>
      </c>
      <c r="C32" s="3">
        <v>3</v>
      </c>
      <c r="D32" s="3">
        <v>1</v>
      </c>
      <c r="E32" s="3">
        <v>100</v>
      </c>
      <c r="F32">
        <v>91</v>
      </c>
      <c r="G32">
        <v>1978</v>
      </c>
      <c r="H32">
        <v>34</v>
      </c>
      <c r="I32" s="4">
        <f t="shared" si="8"/>
        <v>0.95238095238095233</v>
      </c>
      <c r="J32" s="3">
        <f t="shared" si="9"/>
        <v>0.91</v>
      </c>
      <c r="K32" s="4">
        <f t="shared" si="10"/>
        <v>0.98281092012133464</v>
      </c>
      <c r="L32" s="4">
        <f t="shared" si="11"/>
        <v>0.85176946410515675</v>
      </c>
    </row>
    <row r="33" spans="1:12" x14ac:dyDescent="0.3">
      <c r="A33" s="2">
        <v>45320</v>
      </c>
      <c r="B33" s="3">
        <v>24</v>
      </c>
      <c r="C33" s="3">
        <v>3</v>
      </c>
      <c r="D33" s="3">
        <v>1</v>
      </c>
      <c r="E33" s="3">
        <v>100</v>
      </c>
      <c r="F33">
        <v>86</v>
      </c>
      <c r="G33">
        <v>1984</v>
      </c>
      <c r="H33">
        <v>27</v>
      </c>
      <c r="I33" s="4">
        <f t="shared" si="8"/>
        <v>0.95238095238095233</v>
      </c>
      <c r="J33" s="3">
        <f t="shared" si="9"/>
        <v>0.86</v>
      </c>
      <c r="K33" s="4">
        <f t="shared" si="10"/>
        <v>0.98639112903225812</v>
      </c>
      <c r="L33" s="4">
        <f t="shared" si="11"/>
        <v>0.80790130568356378</v>
      </c>
    </row>
    <row r="34" spans="1:12" x14ac:dyDescent="0.3">
      <c r="A34" s="2">
        <v>45321</v>
      </c>
      <c r="B34" s="3">
        <v>24</v>
      </c>
      <c r="C34" s="3">
        <v>2</v>
      </c>
      <c r="D34" s="3">
        <v>1</v>
      </c>
      <c r="E34" s="3">
        <v>100</v>
      </c>
      <c r="F34">
        <v>93</v>
      </c>
      <c r="G34">
        <v>1919</v>
      </c>
      <c r="H34">
        <v>59</v>
      </c>
      <c r="I34" s="4">
        <f t="shared" si="8"/>
        <v>0.95454545454545459</v>
      </c>
      <c r="J34" s="3">
        <f t="shared" si="9"/>
        <v>0.93</v>
      </c>
      <c r="K34" s="4">
        <f t="shared" si="10"/>
        <v>0.969254820218864</v>
      </c>
      <c r="L34" s="4">
        <f t="shared" si="11"/>
        <v>0.86043393813065527</v>
      </c>
    </row>
    <row r="35" spans="1:12" x14ac:dyDescent="0.3">
      <c r="A35" s="2">
        <v>45322</v>
      </c>
      <c r="B35" s="3">
        <v>24</v>
      </c>
      <c r="C35" s="3">
        <v>3</v>
      </c>
      <c r="D35" s="3">
        <v>2</v>
      </c>
      <c r="E35" s="3">
        <v>100</v>
      </c>
      <c r="F35">
        <v>82</v>
      </c>
      <c r="G35">
        <v>1829</v>
      </c>
      <c r="H35">
        <v>49</v>
      </c>
      <c r="I35" s="4">
        <f t="shared" si="8"/>
        <v>0.90476190476190477</v>
      </c>
      <c r="J35" s="3">
        <f t="shared" si="9"/>
        <v>0.82</v>
      </c>
      <c r="K35" s="4">
        <f t="shared" si="10"/>
        <v>0.97320940404592671</v>
      </c>
      <c r="L35" s="4">
        <f t="shared" si="11"/>
        <v>0.72202869119216839</v>
      </c>
    </row>
    <row r="36" spans="1:12" x14ac:dyDescent="0.3">
      <c r="A36" s="2">
        <v>45323</v>
      </c>
      <c r="B36" s="3">
        <v>24</v>
      </c>
      <c r="C36" s="3">
        <v>1</v>
      </c>
      <c r="D36" s="3">
        <v>3</v>
      </c>
      <c r="E36" s="3">
        <v>100</v>
      </c>
      <c r="F36">
        <v>100</v>
      </c>
      <c r="G36">
        <v>2005</v>
      </c>
      <c r="H36">
        <v>53</v>
      </c>
      <c r="I36" s="4">
        <f t="shared" si="8"/>
        <v>0.86956521739130432</v>
      </c>
      <c r="J36" s="3">
        <f t="shared" si="9"/>
        <v>1</v>
      </c>
      <c r="K36" s="4">
        <f t="shared" si="10"/>
        <v>0.97356608478802997</v>
      </c>
      <c r="L36" s="4">
        <f t="shared" si="11"/>
        <v>0.8465792041635043</v>
      </c>
    </row>
    <row r="37" spans="1:12" x14ac:dyDescent="0.3">
      <c r="A37" s="2">
        <v>45324</v>
      </c>
      <c r="B37" s="3">
        <v>24</v>
      </c>
      <c r="C37" s="3">
        <v>1</v>
      </c>
      <c r="D37" s="3">
        <v>2</v>
      </c>
      <c r="E37" s="3">
        <v>100</v>
      </c>
      <c r="F37">
        <v>89</v>
      </c>
      <c r="G37">
        <v>2211</v>
      </c>
      <c r="H37">
        <v>47</v>
      </c>
      <c r="I37" s="4">
        <f t="shared" si="8"/>
        <v>0.91304347826086951</v>
      </c>
      <c r="J37" s="3">
        <f t="shared" si="9"/>
        <v>0.89</v>
      </c>
      <c r="K37" s="4">
        <f t="shared" si="10"/>
        <v>0.97874265038444141</v>
      </c>
      <c r="L37" s="4">
        <f t="shared" si="11"/>
        <v>0.79533478850805261</v>
      </c>
    </row>
    <row r="38" spans="1:12" x14ac:dyDescent="0.3">
      <c r="A38" s="2">
        <v>45325</v>
      </c>
      <c r="B38" s="3">
        <v>24</v>
      </c>
      <c r="C38" s="3">
        <v>1</v>
      </c>
      <c r="D38" s="3">
        <v>2</v>
      </c>
      <c r="E38" s="3">
        <v>100</v>
      </c>
      <c r="F38">
        <v>88</v>
      </c>
      <c r="G38">
        <v>2276</v>
      </c>
      <c r="H38">
        <v>32</v>
      </c>
      <c r="I38" s="4">
        <f t="shared" si="8"/>
        <v>0.91304347826086951</v>
      </c>
      <c r="J38" s="3">
        <f t="shared" si="9"/>
        <v>0.88</v>
      </c>
      <c r="K38" s="4">
        <f t="shared" si="10"/>
        <v>0.98594024604569419</v>
      </c>
      <c r="L38" s="4">
        <f t="shared" si="11"/>
        <v>0.79218155421410552</v>
      </c>
    </row>
    <row r="39" spans="1:12" x14ac:dyDescent="0.3">
      <c r="A39" s="2">
        <v>45326</v>
      </c>
      <c r="B39" s="3">
        <v>24</v>
      </c>
      <c r="C39" s="3">
        <v>3</v>
      </c>
      <c r="D39" s="3">
        <v>1</v>
      </c>
      <c r="E39" s="3">
        <v>100</v>
      </c>
      <c r="F39">
        <v>92</v>
      </c>
      <c r="G39">
        <v>1716</v>
      </c>
      <c r="H39">
        <v>24</v>
      </c>
      <c r="I39" s="4">
        <f t="shared" si="8"/>
        <v>0.95238095238095233</v>
      </c>
      <c r="J39" s="3">
        <f t="shared" si="9"/>
        <v>0.92</v>
      </c>
      <c r="K39" s="4">
        <f t="shared" si="10"/>
        <v>0.98601398601398604</v>
      </c>
      <c r="L39" s="4">
        <f t="shared" si="11"/>
        <v>0.86393606393606392</v>
      </c>
    </row>
    <row r="40" spans="1:12" x14ac:dyDescent="0.3">
      <c r="A40" s="2">
        <v>45327</v>
      </c>
      <c r="B40" s="3">
        <v>24</v>
      </c>
      <c r="C40" s="3">
        <v>3</v>
      </c>
      <c r="D40" s="3">
        <v>3</v>
      </c>
      <c r="E40" s="3">
        <v>100</v>
      </c>
      <c r="F40">
        <v>81</v>
      </c>
      <c r="G40">
        <v>1840</v>
      </c>
      <c r="H40">
        <v>45</v>
      </c>
      <c r="I40" s="4">
        <f t="shared" si="8"/>
        <v>0.8571428571428571</v>
      </c>
      <c r="J40" s="3">
        <f t="shared" si="9"/>
        <v>0.81</v>
      </c>
      <c r="K40" s="4">
        <f t="shared" si="10"/>
        <v>0.97554347826086951</v>
      </c>
      <c r="L40" s="4">
        <f t="shared" si="11"/>
        <v>0.67730590062111795</v>
      </c>
    </row>
    <row r="41" spans="1:12" x14ac:dyDescent="0.3">
      <c r="A41" s="2">
        <v>45328</v>
      </c>
      <c r="B41" s="3">
        <v>24</v>
      </c>
      <c r="C41" s="3">
        <v>2</v>
      </c>
      <c r="D41" s="3">
        <v>1</v>
      </c>
      <c r="E41" s="3">
        <v>100</v>
      </c>
      <c r="F41">
        <v>87</v>
      </c>
      <c r="G41">
        <v>1776</v>
      </c>
      <c r="H41">
        <v>28</v>
      </c>
      <c r="I41" s="4">
        <f t="shared" si="8"/>
        <v>0.95454545454545459</v>
      </c>
      <c r="J41" s="3">
        <f t="shared" si="9"/>
        <v>0.87</v>
      </c>
      <c r="K41" s="4">
        <f t="shared" si="10"/>
        <v>0.98423423423423428</v>
      </c>
      <c r="L41" s="4">
        <f t="shared" si="11"/>
        <v>0.81736179361179362</v>
      </c>
    </row>
    <row r="42" spans="1:12" x14ac:dyDescent="0.3">
      <c r="A42" s="2">
        <v>45329</v>
      </c>
      <c r="B42" s="3">
        <v>24</v>
      </c>
      <c r="C42" s="3">
        <v>3</v>
      </c>
      <c r="D42" s="3">
        <v>2</v>
      </c>
      <c r="E42" s="3">
        <v>100</v>
      </c>
      <c r="F42">
        <v>96</v>
      </c>
      <c r="G42">
        <v>1868</v>
      </c>
      <c r="H42">
        <v>40</v>
      </c>
      <c r="I42" s="4">
        <f t="shared" si="8"/>
        <v>0.90476190476190477</v>
      </c>
      <c r="J42" s="3">
        <f t="shared" si="9"/>
        <v>0.96</v>
      </c>
      <c r="K42" s="4">
        <f t="shared" si="10"/>
        <v>0.97858672376873657</v>
      </c>
      <c r="L42" s="4">
        <f t="shared" si="11"/>
        <v>0.84997246864484544</v>
      </c>
    </row>
    <row r="43" spans="1:12" x14ac:dyDescent="0.3">
      <c r="A43" s="2">
        <v>45330</v>
      </c>
      <c r="B43" s="3">
        <v>24</v>
      </c>
      <c r="C43" s="3">
        <v>2</v>
      </c>
      <c r="D43" s="3">
        <v>1</v>
      </c>
      <c r="E43" s="3">
        <v>100</v>
      </c>
      <c r="F43">
        <v>94</v>
      </c>
      <c r="G43">
        <v>1796</v>
      </c>
      <c r="H43">
        <v>26</v>
      </c>
      <c r="I43" s="4">
        <f t="shared" si="8"/>
        <v>0.95454545454545459</v>
      </c>
      <c r="J43" s="3">
        <f t="shared" si="9"/>
        <v>0.94</v>
      </c>
      <c r="K43" s="4">
        <f t="shared" si="10"/>
        <v>0.98552338530066819</v>
      </c>
      <c r="L43" s="4">
        <f t="shared" si="11"/>
        <v>0.88428325571978128</v>
      </c>
    </row>
    <row r="44" spans="1:12" x14ac:dyDescent="0.3">
      <c r="A44" s="2">
        <v>45331</v>
      </c>
      <c r="B44" s="3">
        <v>24</v>
      </c>
      <c r="C44" s="3">
        <v>1</v>
      </c>
      <c r="D44" s="3">
        <v>2</v>
      </c>
      <c r="E44" s="3">
        <v>100</v>
      </c>
      <c r="F44">
        <v>95</v>
      </c>
      <c r="G44">
        <v>2195</v>
      </c>
      <c r="H44">
        <v>39</v>
      </c>
      <c r="I44" s="4">
        <f t="shared" si="8"/>
        <v>0.91304347826086951</v>
      </c>
      <c r="J44" s="3">
        <f t="shared" si="9"/>
        <v>0.95</v>
      </c>
      <c r="K44" s="4">
        <f t="shared" si="10"/>
        <v>0.98223234624145783</v>
      </c>
      <c r="L44" s="4">
        <f t="shared" si="11"/>
        <v>0.85197979597900353</v>
      </c>
    </row>
    <row r="45" spans="1:12" x14ac:dyDescent="0.3">
      <c r="A45" s="2">
        <v>45332</v>
      </c>
      <c r="B45" s="3">
        <v>24</v>
      </c>
      <c r="C45" s="3">
        <v>3</v>
      </c>
      <c r="D45" s="3">
        <v>1</v>
      </c>
      <c r="E45" s="3">
        <v>100</v>
      </c>
      <c r="F45">
        <v>90</v>
      </c>
      <c r="G45">
        <v>1752</v>
      </c>
      <c r="H45">
        <v>56</v>
      </c>
      <c r="I45" s="4">
        <f t="shared" si="8"/>
        <v>0.95238095238095233</v>
      </c>
      <c r="J45" s="3">
        <f t="shared" si="9"/>
        <v>0.9</v>
      </c>
      <c r="K45" s="4">
        <f t="shared" si="10"/>
        <v>0.96803652968036524</v>
      </c>
      <c r="L45" s="4">
        <f t="shared" si="11"/>
        <v>0.82974559686888449</v>
      </c>
    </row>
    <row r="46" spans="1:12" x14ac:dyDescent="0.3">
      <c r="A46" s="2">
        <v>45333</v>
      </c>
      <c r="B46" s="3">
        <v>24</v>
      </c>
      <c r="C46" s="3">
        <v>1</v>
      </c>
      <c r="D46" s="3">
        <v>2</v>
      </c>
      <c r="E46" s="3">
        <v>100</v>
      </c>
      <c r="F46">
        <v>88</v>
      </c>
      <c r="G46">
        <v>2206</v>
      </c>
      <c r="H46">
        <v>33</v>
      </c>
      <c r="I46" s="4">
        <f t="shared" si="8"/>
        <v>0.91304347826086951</v>
      </c>
      <c r="J46" s="3">
        <f t="shared" si="9"/>
        <v>0.88</v>
      </c>
      <c r="K46" s="4">
        <f t="shared" si="10"/>
        <v>0.98504079782411602</v>
      </c>
      <c r="L46" s="4">
        <f t="shared" si="11"/>
        <v>0.79145886712128977</v>
      </c>
    </row>
    <row r="47" spans="1:12" x14ac:dyDescent="0.3">
      <c r="A47" s="2">
        <v>45334</v>
      </c>
      <c r="B47" s="3">
        <v>24</v>
      </c>
      <c r="C47" s="3">
        <v>3</v>
      </c>
      <c r="D47" s="3">
        <v>1</v>
      </c>
      <c r="E47" s="3">
        <v>100</v>
      </c>
      <c r="F47">
        <v>93</v>
      </c>
      <c r="G47">
        <v>2129</v>
      </c>
      <c r="H47">
        <v>36</v>
      </c>
      <c r="I47" s="4">
        <f t="shared" si="8"/>
        <v>0.95238095238095233</v>
      </c>
      <c r="J47" s="3">
        <f t="shared" si="9"/>
        <v>0.93</v>
      </c>
      <c r="K47" s="4">
        <f t="shared" si="10"/>
        <v>0.98309065288868014</v>
      </c>
      <c r="L47" s="4">
        <f t="shared" si="11"/>
        <v>0.87073743541568804</v>
      </c>
    </row>
    <row r="48" spans="1:12" x14ac:dyDescent="0.3">
      <c r="A48" s="2">
        <v>45335</v>
      </c>
      <c r="B48" s="3">
        <v>24</v>
      </c>
      <c r="C48" s="3">
        <v>2</v>
      </c>
      <c r="D48" s="3">
        <v>3</v>
      </c>
      <c r="E48" s="3">
        <v>100</v>
      </c>
      <c r="F48">
        <v>92</v>
      </c>
      <c r="G48">
        <v>1946</v>
      </c>
      <c r="H48">
        <v>54</v>
      </c>
      <c r="I48" s="4">
        <f t="shared" si="8"/>
        <v>0.86363636363636365</v>
      </c>
      <c r="J48" s="3">
        <f t="shared" si="9"/>
        <v>0.92</v>
      </c>
      <c r="K48" s="4">
        <f t="shared" si="10"/>
        <v>0.9722507708119219</v>
      </c>
      <c r="L48" s="4">
        <f t="shared" si="11"/>
        <v>0.772497430626927</v>
      </c>
    </row>
    <row r="49" spans="1:12" x14ac:dyDescent="0.3">
      <c r="A49" s="2">
        <v>45336</v>
      </c>
      <c r="B49" s="3">
        <v>24</v>
      </c>
      <c r="C49" s="3">
        <v>1</v>
      </c>
      <c r="D49" s="3">
        <v>2</v>
      </c>
      <c r="E49" s="3">
        <v>100</v>
      </c>
      <c r="F49">
        <v>91</v>
      </c>
      <c r="G49">
        <v>1707</v>
      </c>
      <c r="H49">
        <v>51</v>
      </c>
      <c r="I49" s="4">
        <f t="shared" si="8"/>
        <v>0.91304347826086951</v>
      </c>
      <c r="J49" s="3">
        <f t="shared" si="9"/>
        <v>0.91</v>
      </c>
      <c r="K49" s="4">
        <f t="shared" si="10"/>
        <v>0.97012302284710017</v>
      </c>
      <c r="L49" s="4">
        <f t="shared" si="11"/>
        <v>0.80604569420035144</v>
      </c>
    </row>
    <row r="50" spans="1:12" x14ac:dyDescent="0.3">
      <c r="A50" s="2">
        <v>45337</v>
      </c>
      <c r="B50" s="3">
        <v>24</v>
      </c>
      <c r="C50" s="3">
        <v>1</v>
      </c>
      <c r="D50" s="3">
        <v>3</v>
      </c>
      <c r="E50" s="3">
        <v>100</v>
      </c>
      <c r="F50">
        <v>99</v>
      </c>
      <c r="G50">
        <v>1718</v>
      </c>
      <c r="H50">
        <v>56</v>
      </c>
      <c r="I50" s="4">
        <f t="shared" si="8"/>
        <v>0.86956521739130432</v>
      </c>
      <c r="J50" s="3">
        <f t="shared" si="9"/>
        <v>0.99</v>
      </c>
      <c r="K50" s="4">
        <f t="shared" si="10"/>
        <v>0.96740395809080326</v>
      </c>
      <c r="L50" s="4">
        <f t="shared" si="11"/>
        <v>0.8328086247912132</v>
      </c>
    </row>
    <row r="51" spans="1:12" x14ac:dyDescent="0.3">
      <c r="A51" s="2">
        <v>45338</v>
      </c>
      <c r="B51" s="3">
        <v>24</v>
      </c>
      <c r="C51" s="3">
        <v>1</v>
      </c>
      <c r="D51" s="3">
        <v>2</v>
      </c>
      <c r="E51" s="3">
        <v>100</v>
      </c>
      <c r="F51">
        <v>85</v>
      </c>
      <c r="G51">
        <v>2172</v>
      </c>
      <c r="H51">
        <v>38</v>
      </c>
      <c r="I51" s="4">
        <f t="shared" si="8"/>
        <v>0.91304347826086951</v>
      </c>
      <c r="J51" s="3">
        <f t="shared" si="9"/>
        <v>0.85</v>
      </c>
      <c r="K51" s="4">
        <f t="shared" si="10"/>
        <v>0.98250460405156537</v>
      </c>
      <c r="L51" s="4">
        <f t="shared" si="11"/>
        <v>0.76250900792697573</v>
      </c>
    </row>
    <row r="52" spans="1:12" x14ac:dyDescent="0.3">
      <c r="A52" s="2">
        <v>45339</v>
      </c>
      <c r="B52" s="3">
        <v>24</v>
      </c>
      <c r="C52" s="3">
        <v>1</v>
      </c>
      <c r="D52" s="3">
        <v>3</v>
      </c>
      <c r="E52" s="3">
        <v>100</v>
      </c>
      <c r="F52">
        <v>97</v>
      </c>
      <c r="G52">
        <v>2111</v>
      </c>
      <c r="H52">
        <v>28</v>
      </c>
      <c r="I52" s="4">
        <f t="shared" si="8"/>
        <v>0.86956521739130432</v>
      </c>
      <c r="J52" s="3">
        <f t="shared" si="9"/>
        <v>0.97</v>
      </c>
      <c r="K52" s="4">
        <f t="shared" si="10"/>
        <v>0.98673614400757936</v>
      </c>
      <c r="L52" s="4">
        <f t="shared" si="11"/>
        <v>0.83229048668465377</v>
      </c>
    </row>
    <row r="53" spans="1:12" x14ac:dyDescent="0.3">
      <c r="A53" s="2">
        <v>45340</v>
      </c>
      <c r="B53" s="3">
        <v>24</v>
      </c>
      <c r="C53" s="3">
        <v>2</v>
      </c>
      <c r="D53" s="3">
        <v>3</v>
      </c>
      <c r="E53" s="3">
        <v>100</v>
      </c>
      <c r="F53">
        <v>83</v>
      </c>
      <c r="G53">
        <v>1754</v>
      </c>
      <c r="H53">
        <v>25</v>
      </c>
      <c r="I53" s="4">
        <f t="shared" si="8"/>
        <v>0.86363636363636365</v>
      </c>
      <c r="J53" s="3">
        <f t="shared" si="9"/>
        <v>0.83</v>
      </c>
      <c r="K53" s="4">
        <f t="shared" si="10"/>
        <v>0.98574686431014824</v>
      </c>
      <c r="L53" s="4">
        <f t="shared" si="11"/>
        <v>0.70660127500777448</v>
      </c>
    </row>
    <row r="54" spans="1:12" x14ac:dyDescent="0.3">
      <c r="A54" s="2">
        <v>45341</v>
      </c>
      <c r="B54" s="3">
        <v>24</v>
      </c>
      <c r="C54" s="3">
        <v>3</v>
      </c>
      <c r="D54" s="3">
        <v>3</v>
      </c>
      <c r="E54" s="3">
        <v>100</v>
      </c>
      <c r="F54">
        <v>83</v>
      </c>
      <c r="G54">
        <v>1980</v>
      </c>
      <c r="H54">
        <v>51</v>
      </c>
      <c r="I54" s="4">
        <f t="shared" si="8"/>
        <v>0.8571428571428571</v>
      </c>
      <c r="J54" s="3">
        <f t="shared" si="9"/>
        <v>0.83</v>
      </c>
      <c r="K54" s="4">
        <f t="shared" si="10"/>
        <v>0.97424242424242424</v>
      </c>
      <c r="L54" s="4">
        <f t="shared" si="11"/>
        <v>0.69310389610389611</v>
      </c>
    </row>
    <row r="55" spans="1:12" x14ac:dyDescent="0.3">
      <c r="A55" s="2">
        <v>45342</v>
      </c>
      <c r="B55" s="3">
        <v>24</v>
      </c>
      <c r="C55" s="3">
        <v>2</v>
      </c>
      <c r="D55" s="3">
        <v>2</v>
      </c>
      <c r="E55" s="3">
        <v>100</v>
      </c>
      <c r="F55">
        <v>95</v>
      </c>
      <c r="G55">
        <v>1849</v>
      </c>
      <c r="H55">
        <v>58</v>
      </c>
      <c r="I55" s="4">
        <f t="shared" si="8"/>
        <v>0.90909090909090906</v>
      </c>
      <c r="J55" s="3">
        <f t="shared" si="9"/>
        <v>0.95</v>
      </c>
      <c r="K55" s="4">
        <f t="shared" si="10"/>
        <v>0.96863169280692263</v>
      </c>
      <c r="L55" s="4">
        <f t="shared" si="11"/>
        <v>0.8365455528787058</v>
      </c>
    </row>
    <row r="56" spans="1:12" x14ac:dyDescent="0.3">
      <c r="A56" s="2">
        <v>45343</v>
      </c>
      <c r="B56" s="3">
        <v>24</v>
      </c>
      <c r="C56" s="3">
        <v>1</v>
      </c>
      <c r="D56" s="3">
        <v>2</v>
      </c>
      <c r="E56" s="3">
        <v>100</v>
      </c>
      <c r="F56">
        <v>88</v>
      </c>
      <c r="G56">
        <v>1964</v>
      </c>
      <c r="H56">
        <v>57</v>
      </c>
      <c r="I56" s="4">
        <f t="shared" si="8"/>
        <v>0.91304347826086951</v>
      </c>
      <c r="J56" s="3">
        <f t="shared" si="9"/>
        <v>0.88</v>
      </c>
      <c r="K56" s="4">
        <f t="shared" si="10"/>
        <v>0.97097759674134421</v>
      </c>
      <c r="L56" s="4">
        <f t="shared" si="11"/>
        <v>0.78015939077304519</v>
      </c>
    </row>
    <row r="57" spans="1:12" x14ac:dyDescent="0.3">
      <c r="A57" s="2">
        <v>45344</v>
      </c>
      <c r="B57" s="3">
        <v>24</v>
      </c>
      <c r="C57" s="3">
        <v>1</v>
      </c>
      <c r="D57" s="3">
        <v>2</v>
      </c>
      <c r="E57" s="3">
        <v>100</v>
      </c>
      <c r="F57">
        <v>100</v>
      </c>
      <c r="G57">
        <v>1950</v>
      </c>
      <c r="H57">
        <v>26</v>
      </c>
      <c r="I57" s="4">
        <f t="shared" si="8"/>
        <v>0.91304347826086951</v>
      </c>
      <c r="J57" s="3">
        <f t="shared" si="9"/>
        <v>1</v>
      </c>
      <c r="K57" s="4">
        <f t="shared" si="10"/>
        <v>0.98666666666666669</v>
      </c>
      <c r="L57" s="4">
        <f t="shared" si="11"/>
        <v>0.90086956521739125</v>
      </c>
    </row>
    <row r="58" spans="1:12" x14ac:dyDescent="0.3">
      <c r="A58" s="2">
        <v>45345</v>
      </c>
      <c r="B58" s="3">
        <v>24</v>
      </c>
      <c r="C58" s="3">
        <v>1</v>
      </c>
      <c r="D58" s="3">
        <v>3</v>
      </c>
      <c r="E58" s="3">
        <v>100</v>
      </c>
      <c r="F58">
        <v>89</v>
      </c>
      <c r="G58">
        <v>1953</v>
      </c>
      <c r="H58">
        <v>28</v>
      </c>
      <c r="I58" s="4">
        <f t="shared" si="8"/>
        <v>0.86956521739130432</v>
      </c>
      <c r="J58" s="3">
        <f t="shared" si="9"/>
        <v>0.89</v>
      </c>
      <c r="K58" s="4">
        <f t="shared" si="10"/>
        <v>0.98566308243727596</v>
      </c>
      <c r="L58" s="4">
        <f t="shared" si="11"/>
        <v>0.76281751597319614</v>
      </c>
    </row>
    <row r="59" spans="1:12" x14ac:dyDescent="0.3">
      <c r="A59" s="2">
        <v>45346</v>
      </c>
      <c r="B59" s="3">
        <v>24</v>
      </c>
      <c r="C59" s="3">
        <v>1</v>
      </c>
      <c r="D59" s="3">
        <v>2</v>
      </c>
      <c r="E59" s="3">
        <v>100</v>
      </c>
      <c r="F59">
        <v>93</v>
      </c>
      <c r="G59">
        <v>1927</v>
      </c>
      <c r="H59">
        <v>24</v>
      </c>
      <c r="I59" s="4">
        <f t="shared" si="8"/>
        <v>0.91304347826086951</v>
      </c>
      <c r="J59" s="3">
        <f t="shared" si="9"/>
        <v>0.93</v>
      </c>
      <c r="K59" s="4">
        <f t="shared" si="10"/>
        <v>0.98754540736896734</v>
      </c>
      <c r="L59" s="4">
        <f t="shared" si="11"/>
        <v>0.83855486112677968</v>
      </c>
    </row>
    <row r="60" spans="1:12" x14ac:dyDescent="0.3">
      <c r="A60" s="2">
        <v>45347</v>
      </c>
      <c r="B60" s="3">
        <v>24</v>
      </c>
      <c r="C60" s="3">
        <v>1</v>
      </c>
      <c r="D60" s="3">
        <v>3</v>
      </c>
      <c r="E60" s="3">
        <v>100</v>
      </c>
      <c r="F60">
        <v>85</v>
      </c>
      <c r="G60">
        <v>1843</v>
      </c>
      <c r="H60">
        <v>39</v>
      </c>
      <c r="I60" s="4">
        <f t="shared" si="8"/>
        <v>0.86956521739130432</v>
      </c>
      <c r="J60" s="3">
        <f t="shared" si="9"/>
        <v>0.85</v>
      </c>
      <c r="K60" s="4">
        <f t="shared" si="10"/>
        <v>0.97883884970157353</v>
      </c>
      <c r="L60" s="4">
        <f t="shared" si="11"/>
        <v>0.72348958456203261</v>
      </c>
    </row>
    <row r="61" spans="1:12" x14ac:dyDescent="0.3">
      <c r="A61" s="2">
        <v>45348</v>
      </c>
      <c r="B61" s="3">
        <v>24</v>
      </c>
      <c r="C61" s="3">
        <v>1</v>
      </c>
      <c r="D61" s="3">
        <v>3</v>
      </c>
      <c r="E61" s="3">
        <v>100</v>
      </c>
      <c r="F61">
        <v>97</v>
      </c>
      <c r="G61">
        <v>1988</v>
      </c>
      <c r="H61">
        <v>52</v>
      </c>
      <c r="I61" s="4">
        <f t="shared" si="8"/>
        <v>0.86956521739130432</v>
      </c>
      <c r="J61" s="3">
        <f t="shared" si="9"/>
        <v>0.97</v>
      </c>
      <c r="K61" s="4">
        <f t="shared" si="10"/>
        <v>0.97384305835010065</v>
      </c>
      <c r="L61" s="4">
        <f t="shared" si="11"/>
        <v>0.82141544921704135</v>
      </c>
    </row>
    <row r="62" spans="1:12" x14ac:dyDescent="0.3">
      <c r="A62" s="2">
        <v>45349</v>
      </c>
      <c r="B62" s="3">
        <v>24</v>
      </c>
      <c r="C62" s="3">
        <v>2</v>
      </c>
      <c r="D62" s="3">
        <v>3</v>
      </c>
      <c r="E62" s="3">
        <v>100</v>
      </c>
      <c r="F62">
        <v>84</v>
      </c>
      <c r="G62">
        <v>2009</v>
      </c>
      <c r="H62">
        <v>26</v>
      </c>
      <c r="I62" s="4">
        <f t="shared" si="8"/>
        <v>0.86363636363636365</v>
      </c>
      <c r="J62" s="3">
        <f t="shared" si="9"/>
        <v>0.84</v>
      </c>
      <c r="K62" s="4">
        <f t="shared" si="10"/>
        <v>0.98705823792931802</v>
      </c>
      <c r="L62" s="4">
        <f t="shared" si="11"/>
        <v>0.71606588533417803</v>
      </c>
    </row>
    <row r="63" spans="1:12" x14ac:dyDescent="0.3">
      <c r="A63" s="2">
        <v>45350</v>
      </c>
      <c r="B63" s="3">
        <v>24</v>
      </c>
      <c r="C63" s="3">
        <v>1</v>
      </c>
      <c r="D63" s="3">
        <v>1</v>
      </c>
      <c r="E63" s="3">
        <v>100</v>
      </c>
      <c r="F63">
        <v>81</v>
      </c>
      <c r="G63">
        <v>1983</v>
      </c>
      <c r="H63">
        <v>58</v>
      </c>
      <c r="I63" s="4">
        <f t="shared" si="8"/>
        <v>0.95652173913043481</v>
      </c>
      <c r="J63" s="3">
        <f t="shared" si="9"/>
        <v>0.81</v>
      </c>
      <c r="K63" s="4">
        <f t="shared" si="10"/>
        <v>0.97075138678769546</v>
      </c>
      <c r="L63" s="4">
        <f t="shared" si="11"/>
        <v>0.75212129185029286</v>
      </c>
    </row>
    <row r="64" spans="1:12" x14ac:dyDescent="0.3">
      <c r="A64" s="2">
        <v>45351</v>
      </c>
      <c r="B64" s="3">
        <v>24</v>
      </c>
      <c r="C64" s="3">
        <v>1</v>
      </c>
      <c r="D64" s="3">
        <v>3</v>
      </c>
      <c r="E64" s="3">
        <v>100</v>
      </c>
      <c r="F64">
        <v>86</v>
      </c>
      <c r="G64">
        <v>2184</v>
      </c>
      <c r="H64">
        <v>20</v>
      </c>
      <c r="I64" s="4">
        <f t="shared" si="8"/>
        <v>0.86956521739130432</v>
      </c>
      <c r="J64" s="3">
        <f t="shared" si="9"/>
        <v>0.86</v>
      </c>
      <c r="K64" s="4">
        <f t="shared" si="10"/>
        <v>0.99084249084249088</v>
      </c>
      <c r="L64" s="4">
        <f t="shared" si="11"/>
        <v>0.74097786271699317</v>
      </c>
    </row>
    <row r="65" spans="1:12" x14ac:dyDescent="0.3">
      <c r="A65" s="2">
        <v>45352</v>
      </c>
      <c r="B65" s="3">
        <v>24</v>
      </c>
      <c r="C65" s="3">
        <v>2</v>
      </c>
      <c r="D65" s="3">
        <v>2</v>
      </c>
      <c r="E65" s="3">
        <v>100</v>
      </c>
      <c r="F65">
        <v>99</v>
      </c>
      <c r="G65">
        <v>1885</v>
      </c>
      <c r="H65">
        <v>47</v>
      </c>
      <c r="I65" s="4">
        <f t="shared" si="8"/>
        <v>0.90909090909090906</v>
      </c>
      <c r="J65" s="3">
        <f t="shared" si="9"/>
        <v>0.99</v>
      </c>
      <c r="K65" s="4">
        <f t="shared" si="10"/>
        <v>0.97506631299734747</v>
      </c>
      <c r="L65" s="4">
        <f t="shared" si="11"/>
        <v>0.87755968169761267</v>
      </c>
    </row>
    <row r="66" spans="1:12" x14ac:dyDescent="0.3">
      <c r="A66" s="2">
        <v>45353</v>
      </c>
      <c r="B66" s="3">
        <v>24</v>
      </c>
      <c r="C66" s="3">
        <v>2</v>
      </c>
      <c r="D66" s="3">
        <v>3</v>
      </c>
      <c r="E66" s="3">
        <v>100</v>
      </c>
      <c r="F66">
        <v>85</v>
      </c>
      <c r="G66">
        <v>1978</v>
      </c>
      <c r="H66">
        <v>42</v>
      </c>
      <c r="I66" s="4">
        <f t="shared" si="8"/>
        <v>0.86363636363636365</v>
      </c>
      <c r="J66" s="3">
        <f t="shared" si="9"/>
        <v>0.85</v>
      </c>
      <c r="K66" s="4">
        <f t="shared" si="10"/>
        <v>0.97876643073811931</v>
      </c>
      <c r="L66" s="4">
        <f t="shared" si="11"/>
        <v>0.71850353892821039</v>
      </c>
    </row>
    <row r="67" spans="1:12" x14ac:dyDescent="0.3">
      <c r="A67" s="2">
        <v>45354</v>
      </c>
      <c r="B67" s="3">
        <v>24</v>
      </c>
      <c r="C67" s="3">
        <v>2</v>
      </c>
      <c r="D67" s="3">
        <v>2</v>
      </c>
      <c r="E67" s="3">
        <v>100</v>
      </c>
      <c r="F67">
        <v>96</v>
      </c>
      <c r="G67">
        <v>1935</v>
      </c>
      <c r="H67">
        <v>38</v>
      </c>
      <c r="I67" s="4">
        <f t="shared" si="8"/>
        <v>0.90909090909090906</v>
      </c>
      <c r="J67" s="3">
        <f t="shared" si="9"/>
        <v>0.96</v>
      </c>
      <c r="K67" s="4">
        <f t="shared" si="10"/>
        <v>0.9803617571059432</v>
      </c>
      <c r="L67" s="4">
        <f t="shared" si="11"/>
        <v>0.85558844256518674</v>
      </c>
    </row>
    <row r="68" spans="1:12" x14ac:dyDescent="0.3">
      <c r="A68" s="2">
        <v>45355</v>
      </c>
      <c r="B68" s="3">
        <v>24</v>
      </c>
      <c r="C68" s="3">
        <v>1</v>
      </c>
      <c r="D68" s="3">
        <v>1</v>
      </c>
      <c r="E68" s="3">
        <v>100</v>
      </c>
      <c r="F68">
        <v>97</v>
      </c>
      <c r="G68">
        <v>1899</v>
      </c>
      <c r="H68">
        <v>41</v>
      </c>
      <c r="I68" s="4">
        <f t="shared" si="8"/>
        <v>0.95652173913043481</v>
      </c>
      <c r="J68" s="3">
        <f t="shared" si="9"/>
        <v>0.97</v>
      </c>
      <c r="K68" s="4">
        <f t="shared" si="10"/>
        <v>0.97840968931016326</v>
      </c>
      <c r="L68" s="4">
        <f t="shared" si="11"/>
        <v>0.90779403347299492</v>
      </c>
    </row>
    <row r="69" spans="1:12" x14ac:dyDescent="0.3">
      <c r="A69" s="2">
        <v>45356</v>
      </c>
      <c r="B69" s="3">
        <v>24</v>
      </c>
      <c r="C69" s="3">
        <v>2</v>
      </c>
      <c r="D69" s="3">
        <v>1</v>
      </c>
      <c r="E69" s="3">
        <v>100</v>
      </c>
      <c r="F69">
        <v>100</v>
      </c>
      <c r="G69">
        <v>2080</v>
      </c>
      <c r="H69">
        <v>37</v>
      </c>
      <c r="I69" s="4">
        <f t="shared" si="8"/>
        <v>0.95454545454545459</v>
      </c>
      <c r="J69" s="3">
        <f t="shared" si="9"/>
        <v>1</v>
      </c>
      <c r="K69" s="4">
        <f t="shared" si="10"/>
        <v>0.98221153846153841</v>
      </c>
      <c r="L69" s="4">
        <f t="shared" si="11"/>
        <v>0.93756555944055942</v>
      </c>
    </row>
    <row r="70" spans="1:12" x14ac:dyDescent="0.3">
      <c r="A70" s="2">
        <v>45357</v>
      </c>
      <c r="B70" s="3">
        <v>24</v>
      </c>
      <c r="C70" s="3">
        <v>3</v>
      </c>
      <c r="D70" s="3">
        <v>2</v>
      </c>
      <c r="E70" s="3">
        <v>100</v>
      </c>
      <c r="F70">
        <v>95</v>
      </c>
      <c r="G70">
        <v>1908</v>
      </c>
      <c r="H70">
        <v>51</v>
      </c>
      <c r="I70" s="4">
        <f t="shared" si="8"/>
        <v>0.90476190476190477</v>
      </c>
      <c r="J70" s="3">
        <f t="shared" si="9"/>
        <v>0.95</v>
      </c>
      <c r="K70" s="4">
        <f t="shared" si="10"/>
        <v>0.97327044025157228</v>
      </c>
      <c r="L70" s="4">
        <f t="shared" si="11"/>
        <v>0.83654911650194663</v>
      </c>
    </row>
    <row r="71" spans="1:12" x14ac:dyDescent="0.3">
      <c r="A71" s="2">
        <v>45358</v>
      </c>
      <c r="B71" s="3">
        <v>24</v>
      </c>
      <c r="C71" s="3">
        <v>3</v>
      </c>
      <c r="D71" s="3">
        <v>1</v>
      </c>
      <c r="E71" s="3">
        <v>100</v>
      </c>
      <c r="F71">
        <v>85</v>
      </c>
      <c r="G71">
        <v>2166</v>
      </c>
      <c r="H71">
        <v>21</v>
      </c>
      <c r="I71" s="4">
        <f t="shared" si="8"/>
        <v>0.95238095238095233</v>
      </c>
      <c r="J71" s="3">
        <f t="shared" si="9"/>
        <v>0.85</v>
      </c>
      <c r="K71" s="4">
        <f t="shared" si="10"/>
        <v>0.99030470914127422</v>
      </c>
      <c r="L71" s="4">
        <f t="shared" si="11"/>
        <v>0.80167524073341234</v>
      </c>
    </row>
    <row r="72" spans="1:12" x14ac:dyDescent="0.3">
      <c r="A72" s="2">
        <v>45359</v>
      </c>
      <c r="B72" s="3">
        <v>24</v>
      </c>
      <c r="C72" s="3">
        <v>2</v>
      </c>
      <c r="D72" s="3">
        <v>1</v>
      </c>
      <c r="E72" s="3">
        <v>100</v>
      </c>
      <c r="F72">
        <v>86</v>
      </c>
      <c r="G72">
        <v>1950</v>
      </c>
      <c r="H72">
        <v>26</v>
      </c>
      <c r="I72" s="4">
        <f t="shared" si="8"/>
        <v>0.95454545454545459</v>
      </c>
      <c r="J72" s="3">
        <f t="shared" si="9"/>
        <v>0.86</v>
      </c>
      <c r="K72" s="4">
        <f t="shared" si="10"/>
        <v>0.98666666666666669</v>
      </c>
      <c r="L72" s="4">
        <f t="shared" si="11"/>
        <v>0.80996363636363644</v>
      </c>
    </row>
    <row r="73" spans="1:12" x14ac:dyDescent="0.3">
      <c r="A73" s="2">
        <v>45360</v>
      </c>
      <c r="B73" s="3">
        <v>24</v>
      </c>
      <c r="C73" s="3">
        <v>2</v>
      </c>
      <c r="D73" s="3">
        <v>1</v>
      </c>
      <c r="E73" s="3">
        <v>100</v>
      </c>
      <c r="F73">
        <v>96</v>
      </c>
      <c r="G73">
        <v>1916</v>
      </c>
      <c r="H73">
        <v>34</v>
      </c>
      <c r="I73" s="4">
        <f t="shared" si="8"/>
        <v>0.95454545454545459</v>
      </c>
      <c r="J73" s="3">
        <f t="shared" si="9"/>
        <v>0.96</v>
      </c>
      <c r="K73" s="4">
        <f t="shared" si="10"/>
        <v>0.98225469728601256</v>
      </c>
      <c r="L73" s="4">
        <f t="shared" si="11"/>
        <v>0.90010248624027334</v>
      </c>
    </row>
    <row r="74" spans="1:12" x14ac:dyDescent="0.3">
      <c r="A74" s="2">
        <v>45361</v>
      </c>
      <c r="B74" s="3">
        <v>24</v>
      </c>
      <c r="C74" s="3">
        <v>1</v>
      </c>
      <c r="D74" s="3">
        <v>2</v>
      </c>
      <c r="E74" s="3">
        <v>100</v>
      </c>
      <c r="F74">
        <v>94</v>
      </c>
      <c r="G74">
        <v>2079</v>
      </c>
      <c r="H74">
        <v>52</v>
      </c>
      <c r="I74" s="4">
        <f t="shared" si="8"/>
        <v>0.91304347826086951</v>
      </c>
      <c r="J74" s="3">
        <f t="shared" si="9"/>
        <v>0.94</v>
      </c>
      <c r="K74" s="4">
        <f t="shared" si="10"/>
        <v>0.97498797498797496</v>
      </c>
      <c r="L74" s="4">
        <f t="shared" si="11"/>
        <v>0.83679402722880969</v>
      </c>
    </row>
    <row r="75" spans="1:12" x14ac:dyDescent="0.3">
      <c r="A75" s="2">
        <v>45362</v>
      </c>
      <c r="B75" s="3">
        <v>24</v>
      </c>
      <c r="C75" s="3">
        <v>3</v>
      </c>
      <c r="D75" s="3">
        <v>2</v>
      </c>
      <c r="E75" s="3">
        <v>100</v>
      </c>
      <c r="F75">
        <v>93</v>
      </c>
      <c r="G75">
        <v>2207</v>
      </c>
      <c r="H75">
        <v>45</v>
      </c>
      <c r="I75" s="4">
        <f t="shared" si="8"/>
        <v>0.90476190476190477</v>
      </c>
      <c r="J75" s="3">
        <f t="shared" si="9"/>
        <v>0.93</v>
      </c>
      <c r="K75" s="4">
        <f t="shared" si="10"/>
        <v>0.97961033076574533</v>
      </c>
      <c r="L75" s="4">
        <f t="shared" si="11"/>
        <v>0.8242721211728915</v>
      </c>
    </row>
    <row r="76" spans="1:12" x14ac:dyDescent="0.3">
      <c r="A76" s="2">
        <v>45363</v>
      </c>
      <c r="B76" s="3">
        <v>24</v>
      </c>
      <c r="C76" s="3">
        <v>3</v>
      </c>
      <c r="D76" s="3">
        <v>2</v>
      </c>
      <c r="E76" s="3">
        <v>100</v>
      </c>
      <c r="F76">
        <v>99</v>
      </c>
      <c r="G76">
        <v>1778</v>
      </c>
      <c r="H76">
        <v>27</v>
      </c>
      <c r="I76" s="4">
        <f t="shared" si="8"/>
        <v>0.90476190476190477</v>
      </c>
      <c r="J76" s="3">
        <f t="shared" si="9"/>
        <v>0.99</v>
      </c>
      <c r="K76" s="4">
        <f t="shared" si="10"/>
        <v>0.98481439820022498</v>
      </c>
      <c r="L76" s="4">
        <f t="shared" si="11"/>
        <v>0.88211232524505867</v>
      </c>
    </row>
    <row r="77" spans="1:12" x14ac:dyDescent="0.3">
      <c r="A77" s="2">
        <v>45364</v>
      </c>
      <c r="B77" s="3">
        <v>24</v>
      </c>
      <c r="C77" s="3">
        <v>2</v>
      </c>
      <c r="D77" s="3">
        <v>3</v>
      </c>
      <c r="E77" s="3">
        <v>100</v>
      </c>
      <c r="F77">
        <v>84</v>
      </c>
      <c r="G77">
        <v>1995</v>
      </c>
      <c r="H77">
        <v>24</v>
      </c>
      <c r="I77" s="4">
        <f t="shared" si="8"/>
        <v>0.86363636363636365</v>
      </c>
      <c r="J77" s="3">
        <f t="shared" si="9"/>
        <v>0.84</v>
      </c>
      <c r="K77" s="4">
        <f t="shared" si="10"/>
        <v>0.98796992481203005</v>
      </c>
      <c r="L77" s="4">
        <f t="shared" si="11"/>
        <v>0.71672727272727277</v>
      </c>
    </row>
    <row r="78" spans="1:12" x14ac:dyDescent="0.3">
      <c r="A78" s="2">
        <v>45365</v>
      </c>
      <c r="B78" s="3">
        <v>24</v>
      </c>
      <c r="C78" s="3">
        <v>2</v>
      </c>
      <c r="D78" s="3">
        <v>3</v>
      </c>
      <c r="E78" s="3">
        <v>100</v>
      </c>
      <c r="F78">
        <v>87</v>
      </c>
      <c r="G78">
        <v>1844</v>
      </c>
      <c r="H78">
        <v>50</v>
      </c>
      <c r="I78" s="4">
        <f t="shared" si="8"/>
        <v>0.86363636363636365</v>
      </c>
      <c r="J78" s="3">
        <f t="shared" si="9"/>
        <v>0.87</v>
      </c>
      <c r="K78" s="4">
        <f t="shared" si="10"/>
        <v>0.97288503253796099</v>
      </c>
      <c r="L78" s="4">
        <f t="shared" si="11"/>
        <v>0.73099043581147705</v>
      </c>
    </row>
    <row r="79" spans="1:12" x14ac:dyDescent="0.3">
      <c r="A79" s="2">
        <v>45366</v>
      </c>
      <c r="B79" s="3">
        <v>24</v>
      </c>
      <c r="C79" s="3">
        <v>3</v>
      </c>
      <c r="D79" s="3">
        <v>2</v>
      </c>
      <c r="E79" s="3">
        <v>100</v>
      </c>
      <c r="F79">
        <v>81</v>
      </c>
      <c r="G79">
        <v>2103</v>
      </c>
      <c r="H79">
        <v>56</v>
      </c>
      <c r="I79" s="4">
        <f t="shared" ref="I79:I142" si="12">(B79-C79-D79)/(B79-C79)</f>
        <v>0.90476190476190477</v>
      </c>
      <c r="J79" s="3">
        <f t="shared" ref="J79:J142" si="13">F79/E79</f>
        <v>0.81</v>
      </c>
      <c r="K79" s="4">
        <f t="shared" ref="K79:K142" si="14">(G79-H79)/G79</f>
        <v>0.97337137422729436</v>
      </c>
      <c r="L79" s="4">
        <f t="shared" ref="L79:L142" si="15">I79*J79*K79</f>
        <v>0.71334216425514574</v>
      </c>
    </row>
    <row r="80" spans="1:12" x14ac:dyDescent="0.3">
      <c r="A80" s="2">
        <v>45367</v>
      </c>
      <c r="B80" s="3">
        <v>24</v>
      </c>
      <c r="C80" s="3">
        <v>2</v>
      </c>
      <c r="D80" s="3">
        <v>3</v>
      </c>
      <c r="E80" s="3">
        <v>100</v>
      </c>
      <c r="F80">
        <v>85</v>
      </c>
      <c r="G80">
        <v>1984</v>
      </c>
      <c r="H80">
        <v>25</v>
      </c>
      <c r="I80" s="4">
        <f t="shared" si="12"/>
        <v>0.86363636363636365</v>
      </c>
      <c r="J80" s="3">
        <f t="shared" si="13"/>
        <v>0.85</v>
      </c>
      <c r="K80" s="4">
        <f t="shared" si="14"/>
        <v>0.98739919354838712</v>
      </c>
      <c r="L80" s="4">
        <f t="shared" si="15"/>
        <v>0.72484077162756599</v>
      </c>
    </row>
    <row r="81" spans="1:12" x14ac:dyDescent="0.3">
      <c r="A81" s="2">
        <v>45368</v>
      </c>
      <c r="B81" s="3">
        <v>24</v>
      </c>
      <c r="C81" s="3">
        <v>2</v>
      </c>
      <c r="D81" s="3">
        <v>2</v>
      </c>
      <c r="E81" s="3">
        <v>100</v>
      </c>
      <c r="F81">
        <v>83</v>
      </c>
      <c r="G81">
        <v>2102</v>
      </c>
      <c r="H81">
        <v>38</v>
      </c>
      <c r="I81" s="4">
        <f t="shared" si="12"/>
        <v>0.90909090909090906</v>
      </c>
      <c r="J81" s="3">
        <f t="shared" si="13"/>
        <v>0.83</v>
      </c>
      <c r="K81" s="4">
        <f t="shared" si="14"/>
        <v>0.98192197906755474</v>
      </c>
      <c r="L81" s="4">
        <f t="shared" si="15"/>
        <v>0.74090476602370037</v>
      </c>
    </row>
    <row r="82" spans="1:12" x14ac:dyDescent="0.3">
      <c r="A82" s="2">
        <v>45369</v>
      </c>
      <c r="B82" s="3">
        <v>24</v>
      </c>
      <c r="C82" s="3">
        <v>1</v>
      </c>
      <c r="D82" s="3">
        <v>1</v>
      </c>
      <c r="E82" s="3">
        <v>100</v>
      </c>
      <c r="F82">
        <v>96</v>
      </c>
      <c r="G82">
        <v>2084</v>
      </c>
      <c r="H82">
        <v>39</v>
      </c>
      <c r="I82" s="4">
        <f t="shared" si="12"/>
        <v>0.95652173913043481</v>
      </c>
      <c r="J82" s="3">
        <f t="shared" si="13"/>
        <v>0.96</v>
      </c>
      <c r="K82" s="4">
        <f t="shared" si="14"/>
        <v>0.9812859884836852</v>
      </c>
      <c r="L82" s="4">
        <f t="shared" si="15"/>
        <v>0.9010765250771926</v>
      </c>
    </row>
    <row r="83" spans="1:12" x14ac:dyDescent="0.3">
      <c r="A83" s="2">
        <v>45370</v>
      </c>
      <c r="B83" s="3">
        <v>24</v>
      </c>
      <c r="C83" s="3">
        <v>2</v>
      </c>
      <c r="D83" s="3">
        <v>3</v>
      </c>
      <c r="E83" s="3">
        <v>100</v>
      </c>
      <c r="F83">
        <v>97</v>
      </c>
      <c r="G83">
        <v>1762</v>
      </c>
      <c r="H83">
        <v>54</v>
      </c>
      <c r="I83" s="4">
        <f t="shared" si="12"/>
        <v>0.86363636363636365</v>
      </c>
      <c r="J83" s="3">
        <f t="shared" si="13"/>
        <v>0.97</v>
      </c>
      <c r="K83" s="4">
        <f t="shared" si="14"/>
        <v>0.96935300794551649</v>
      </c>
      <c r="L83" s="4">
        <f t="shared" si="15"/>
        <v>0.81205345165617593</v>
      </c>
    </row>
    <row r="84" spans="1:12" x14ac:dyDescent="0.3">
      <c r="A84" s="2">
        <v>45371</v>
      </c>
      <c r="B84" s="3">
        <v>24</v>
      </c>
      <c r="C84" s="3">
        <v>3</v>
      </c>
      <c r="D84" s="3">
        <v>2</v>
      </c>
      <c r="E84" s="3">
        <v>100</v>
      </c>
      <c r="F84">
        <v>96</v>
      </c>
      <c r="G84">
        <v>2276</v>
      </c>
      <c r="H84">
        <v>35</v>
      </c>
      <c r="I84" s="4">
        <f t="shared" si="12"/>
        <v>0.90476190476190477</v>
      </c>
      <c r="J84" s="3">
        <f t="shared" si="13"/>
        <v>0.96</v>
      </c>
      <c r="K84" s="4">
        <f t="shared" si="14"/>
        <v>0.98462214411247806</v>
      </c>
      <c r="L84" s="4">
        <f t="shared" si="15"/>
        <v>0.85521466231483811</v>
      </c>
    </row>
    <row r="85" spans="1:12" x14ac:dyDescent="0.3">
      <c r="A85" s="2">
        <v>45372</v>
      </c>
      <c r="B85" s="3">
        <v>24</v>
      </c>
      <c r="C85" s="3">
        <v>2</v>
      </c>
      <c r="D85" s="3">
        <v>3</v>
      </c>
      <c r="E85" s="3">
        <v>100</v>
      </c>
      <c r="F85">
        <v>85</v>
      </c>
      <c r="G85">
        <v>1823</v>
      </c>
      <c r="H85">
        <v>46</v>
      </c>
      <c r="I85" s="4">
        <f t="shared" si="12"/>
        <v>0.86363636363636365</v>
      </c>
      <c r="J85" s="3">
        <f t="shared" si="13"/>
        <v>0.85</v>
      </c>
      <c r="K85" s="4">
        <f t="shared" si="14"/>
        <v>0.97476686780032917</v>
      </c>
      <c r="L85" s="4">
        <f t="shared" si="15"/>
        <v>0.71556749613524173</v>
      </c>
    </row>
    <row r="86" spans="1:12" x14ac:dyDescent="0.3">
      <c r="A86" s="2">
        <v>45373</v>
      </c>
      <c r="B86" s="3">
        <v>24</v>
      </c>
      <c r="C86" s="3">
        <v>3</v>
      </c>
      <c r="D86" s="3">
        <v>3</v>
      </c>
      <c r="E86" s="3">
        <v>100</v>
      </c>
      <c r="F86">
        <v>95</v>
      </c>
      <c r="G86">
        <v>2108</v>
      </c>
      <c r="H86">
        <v>43</v>
      </c>
      <c r="I86" s="4">
        <f t="shared" si="12"/>
        <v>0.8571428571428571</v>
      </c>
      <c r="J86" s="3">
        <f t="shared" si="13"/>
        <v>0.95</v>
      </c>
      <c r="K86" s="4">
        <f t="shared" si="14"/>
        <v>0.97960151802656548</v>
      </c>
      <c r="L86" s="4">
        <f t="shared" si="15"/>
        <v>0.79767552182163182</v>
      </c>
    </row>
    <row r="87" spans="1:12" x14ac:dyDescent="0.3">
      <c r="A87" s="2">
        <v>45374</v>
      </c>
      <c r="B87" s="3">
        <v>24</v>
      </c>
      <c r="C87" s="3">
        <v>3</v>
      </c>
      <c r="D87" s="3">
        <v>2</v>
      </c>
      <c r="E87" s="3">
        <v>100</v>
      </c>
      <c r="F87">
        <v>92</v>
      </c>
      <c r="G87">
        <v>2090</v>
      </c>
      <c r="H87">
        <v>44</v>
      </c>
      <c r="I87" s="4">
        <f t="shared" si="12"/>
        <v>0.90476190476190477</v>
      </c>
      <c r="J87" s="3">
        <f t="shared" si="13"/>
        <v>0.92</v>
      </c>
      <c r="K87" s="4">
        <f t="shared" si="14"/>
        <v>0.97894736842105268</v>
      </c>
      <c r="L87" s="4">
        <f t="shared" si="15"/>
        <v>0.81485714285714295</v>
      </c>
    </row>
    <row r="88" spans="1:12" x14ac:dyDescent="0.3">
      <c r="A88" s="2">
        <v>45375</v>
      </c>
      <c r="B88" s="3">
        <v>24</v>
      </c>
      <c r="C88" s="3">
        <v>3</v>
      </c>
      <c r="D88" s="3">
        <v>1</v>
      </c>
      <c r="E88" s="3">
        <v>100</v>
      </c>
      <c r="F88">
        <v>100</v>
      </c>
      <c r="G88">
        <v>2240</v>
      </c>
      <c r="H88">
        <v>30</v>
      </c>
      <c r="I88" s="4">
        <f t="shared" si="12"/>
        <v>0.95238095238095233</v>
      </c>
      <c r="J88" s="3">
        <f t="shared" si="13"/>
        <v>1</v>
      </c>
      <c r="K88" s="4">
        <f t="shared" si="14"/>
        <v>0.9866071428571429</v>
      </c>
      <c r="L88" s="4">
        <f t="shared" si="15"/>
        <v>0.93962585034013602</v>
      </c>
    </row>
    <row r="89" spans="1:12" x14ac:dyDescent="0.3">
      <c r="A89" s="2">
        <v>45376</v>
      </c>
      <c r="B89" s="3">
        <v>24</v>
      </c>
      <c r="C89" s="3">
        <v>2</v>
      </c>
      <c r="D89" s="3">
        <v>3</v>
      </c>
      <c r="E89" s="3">
        <v>100</v>
      </c>
      <c r="F89">
        <v>99</v>
      </c>
      <c r="G89">
        <v>2147</v>
      </c>
      <c r="H89">
        <v>23</v>
      </c>
      <c r="I89" s="4">
        <f t="shared" si="12"/>
        <v>0.86363636363636365</v>
      </c>
      <c r="J89" s="3">
        <f t="shared" si="13"/>
        <v>0.99</v>
      </c>
      <c r="K89" s="4">
        <f t="shared" si="14"/>
        <v>0.98928737773637632</v>
      </c>
      <c r="L89" s="4">
        <f t="shared" si="15"/>
        <v>0.84584070796460176</v>
      </c>
    </row>
    <row r="90" spans="1:12" x14ac:dyDescent="0.3">
      <c r="A90" s="2">
        <v>45377</v>
      </c>
      <c r="B90" s="3">
        <v>24</v>
      </c>
      <c r="C90" s="3">
        <v>1</v>
      </c>
      <c r="D90" s="3">
        <v>1</v>
      </c>
      <c r="E90" s="3">
        <v>100</v>
      </c>
      <c r="F90">
        <v>98</v>
      </c>
      <c r="G90">
        <v>2256</v>
      </c>
      <c r="H90">
        <v>25</v>
      </c>
      <c r="I90" s="4">
        <f t="shared" si="12"/>
        <v>0.95652173913043481</v>
      </c>
      <c r="J90" s="3">
        <f t="shared" si="13"/>
        <v>0.98</v>
      </c>
      <c r="K90" s="4">
        <f t="shared" si="14"/>
        <v>0.9889184397163121</v>
      </c>
      <c r="L90" s="4">
        <f t="shared" si="15"/>
        <v>0.92700354609929092</v>
      </c>
    </row>
    <row r="91" spans="1:12" x14ac:dyDescent="0.3">
      <c r="A91" s="2">
        <v>45378</v>
      </c>
      <c r="B91" s="3">
        <v>24</v>
      </c>
      <c r="C91" s="3">
        <v>3</v>
      </c>
      <c r="D91" s="3">
        <v>1</v>
      </c>
      <c r="E91" s="3">
        <v>100</v>
      </c>
      <c r="F91">
        <v>98</v>
      </c>
      <c r="G91">
        <v>1822</v>
      </c>
      <c r="H91">
        <v>37</v>
      </c>
      <c r="I91" s="4">
        <f t="shared" si="12"/>
        <v>0.95238095238095233</v>
      </c>
      <c r="J91" s="3">
        <f t="shared" si="13"/>
        <v>0.98</v>
      </c>
      <c r="K91" s="4">
        <f t="shared" si="14"/>
        <v>0.97969264544456636</v>
      </c>
      <c r="L91" s="4">
        <f t="shared" si="15"/>
        <v>0.91437980241492856</v>
      </c>
    </row>
    <row r="92" spans="1:12" x14ac:dyDescent="0.3">
      <c r="A92" s="2">
        <v>45379</v>
      </c>
      <c r="B92" s="3">
        <v>24</v>
      </c>
      <c r="C92" s="3">
        <v>1</v>
      </c>
      <c r="D92" s="3">
        <v>2</v>
      </c>
      <c r="E92" s="3">
        <v>100</v>
      </c>
      <c r="F92">
        <v>80</v>
      </c>
      <c r="G92">
        <v>1732</v>
      </c>
      <c r="H92">
        <v>50</v>
      </c>
      <c r="I92" s="4">
        <f t="shared" si="12"/>
        <v>0.91304347826086951</v>
      </c>
      <c r="J92" s="3">
        <f t="shared" si="13"/>
        <v>0.8</v>
      </c>
      <c r="K92" s="4">
        <f t="shared" si="14"/>
        <v>0.97113163972286376</v>
      </c>
      <c r="L92" s="4">
        <f t="shared" si="15"/>
        <v>0.70934832814539617</v>
      </c>
    </row>
    <row r="93" spans="1:12" x14ac:dyDescent="0.3">
      <c r="A93" s="2">
        <v>45380</v>
      </c>
      <c r="B93" s="3">
        <v>24</v>
      </c>
      <c r="C93" s="3">
        <v>2</v>
      </c>
      <c r="D93" s="3">
        <v>1</v>
      </c>
      <c r="E93" s="3">
        <v>100</v>
      </c>
      <c r="F93">
        <v>95</v>
      </c>
      <c r="G93">
        <v>1795</v>
      </c>
      <c r="H93">
        <v>44</v>
      </c>
      <c r="I93" s="4">
        <f t="shared" si="12"/>
        <v>0.95454545454545459</v>
      </c>
      <c r="J93" s="3">
        <f t="shared" si="13"/>
        <v>0.95</v>
      </c>
      <c r="K93" s="4">
        <f t="shared" si="14"/>
        <v>0.97548746518105844</v>
      </c>
      <c r="L93" s="4">
        <f t="shared" si="15"/>
        <v>0.88458976956191437</v>
      </c>
    </row>
    <row r="94" spans="1:12" x14ac:dyDescent="0.3">
      <c r="A94" s="2">
        <v>45381</v>
      </c>
      <c r="B94" s="3">
        <v>24</v>
      </c>
      <c r="C94" s="3">
        <v>1</v>
      </c>
      <c r="D94" s="3">
        <v>2</v>
      </c>
      <c r="E94" s="3">
        <v>100</v>
      </c>
      <c r="F94">
        <v>85</v>
      </c>
      <c r="G94">
        <v>1744</v>
      </c>
      <c r="H94">
        <v>35</v>
      </c>
      <c r="I94" s="4">
        <f t="shared" si="12"/>
        <v>0.91304347826086951</v>
      </c>
      <c r="J94" s="3">
        <f t="shared" si="13"/>
        <v>0.85</v>
      </c>
      <c r="K94" s="4">
        <f t="shared" si="14"/>
        <v>0.97993119266055051</v>
      </c>
      <c r="L94" s="4">
        <f t="shared" si="15"/>
        <v>0.76051181691264458</v>
      </c>
    </row>
    <row r="95" spans="1:12" x14ac:dyDescent="0.3">
      <c r="A95" s="2">
        <v>45382</v>
      </c>
      <c r="B95" s="3">
        <v>24</v>
      </c>
      <c r="C95" s="3">
        <v>2</v>
      </c>
      <c r="D95" s="3">
        <v>1</v>
      </c>
      <c r="E95" s="3">
        <v>100</v>
      </c>
      <c r="F95">
        <v>84</v>
      </c>
      <c r="G95">
        <v>2061</v>
      </c>
      <c r="H95">
        <v>60</v>
      </c>
      <c r="I95" s="4">
        <f t="shared" si="12"/>
        <v>0.95454545454545459</v>
      </c>
      <c r="J95" s="3">
        <f t="shared" si="13"/>
        <v>0.84</v>
      </c>
      <c r="K95" s="4">
        <f t="shared" si="14"/>
        <v>0.97088791848617173</v>
      </c>
      <c r="L95" s="4">
        <f t="shared" si="15"/>
        <v>0.77847558554982144</v>
      </c>
    </row>
    <row r="96" spans="1:12" x14ac:dyDescent="0.3">
      <c r="A96" s="2">
        <v>45383</v>
      </c>
      <c r="B96" s="3">
        <v>24</v>
      </c>
      <c r="C96" s="3">
        <v>3</v>
      </c>
      <c r="D96" s="3">
        <v>1</v>
      </c>
      <c r="E96" s="3">
        <v>100</v>
      </c>
      <c r="F96">
        <v>99</v>
      </c>
      <c r="G96">
        <v>1879</v>
      </c>
      <c r="H96">
        <v>21</v>
      </c>
      <c r="I96" s="4">
        <f t="shared" si="12"/>
        <v>0.95238095238095233</v>
      </c>
      <c r="J96" s="3">
        <f t="shared" si="13"/>
        <v>0.99</v>
      </c>
      <c r="K96" s="4">
        <f t="shared" si="14"/>
        <v>0.98882384246939858</v>
      </c>
      <c r="L96" s="4">
        <f t="shared" si="15"/>
        <v>0.93231962289971859</v>
      </c>
    </row>
    <row r="97" spans="1:12" x14ac:dyDescent="0.3">
      <c r="A97" s="2">
        <v>45384</v>
      </c>
      <c r="B97" s="3">
        <v>24</v>
      </c>
      <c r="C97" s="3">
        <v>1</v>
      </c>
      <c r="D97" s="3">
        <v>1</v>
      </c>
      <c r="E97" s="3">
        <v>100</v>
      </c>
      <c r="F97">
        <v>99</v>
      </c>
      <c r="G97">
        <v>1779</v>
      </c>
      <c r="H97">
        <v>58</v>
      </c>
      <c r="I97" s="4">
        <f t="shared" si="12"/>
        <v>0.95652173913043481</v>
      </c>
      <c r="J97" s="3">
        <f t="shared" si="13"/>
        <v>0.99</v>
      </c>
      <c r="K97" s="4">
        <f t="shared" si="14"/>
        <v>0.96739741427768411</v>
      </c>
      <c r="L97" s="4">
        <f t="shared" si="15"/>
        <v>0.91608329056382443</v>
      </c>
    </row>
    <row r="98" spans="1:12" x14ac:dyDescent="0.3">
      <c r="A98" s="2">
        <v>45385</v>
      </c>
      <c r="B98" s="3">
        <v>24</v>
      </c>
      <c r="C98" s="3">
        <v>1</v>
      </c>
      <c r="D98" s="3">
        <v>1</v>
      </c>
      <c r="E98" s="3">
        <v>100</v>
      </c>
      <c r="F98">
        <v>99</v>
      </c>
      <c r="G98">
        <v>1746</v>
      </c>
      <c r="H98">
        <v>24</v>
      </c>
      <c r="I98" s="4">
        <f t="shared" si="12"/>
        <v>0.95652173913043481</v>
      </c>
      <c r="J98" s="3">
        <f t="shared" si="13"/>
        <v>0.99</v>
      </c>
      <c r="K98" s="4">
        <f t="shared" si="14"/>
        <v>0.9862542955326461</v>
      </c>
      <c r="L98" s="4">
        <f t="shared" si="15"/>
        <v>0.93393993724787094</v>
      </c>
    </row>
    <row r="99" spans="1:12" x14ac:dyDescent="0.3">
      <c r="A99" s="2">
        <v>45386</v>
      </c>
      <c r="B99" s="3">
        <v>24</v>
      </c>
      <c r="C99" s="3">
        <v>3</v>
      </c>
      <c r="D99" s="3">
        <v>2</v>
      </c>
      <c r="E99" s="3">
        <v>100</v>
      </c>
      <c r="F99">
        <v>96</v>
      </c>
      <c r="G99">
        <v>2161</v>
      </c>
      <c r="H99">
        <v>35</v>
      </c>
      <c r="I99" s="4">
        <f t="shared" si="12"/>
        <v>0.90476190476190477</v>
      </c>
      <c r="J99" s="3">
        <f t="shared" si="13"/>
        <v>0.96</v>
      </c>
      <c r="K99" s="4">
        <f t="shared" si="14"/>
        <v>0.98380379453956501</v>
      </c>
      <c r="L99" s="4">
        <f t="shared" si="15"/>
        <v>0.85450386725722216</v>
      </c>
    </row>
    <row r="100" spans="1:12" x14ac:dyDescent="0.3">
      <c r="A100" s="2">
        <v>45387</v>
      </c>
      <c r="B100" s="3">
        <v>24</v>
      </c>
      <c r="C100" s="3">
        <v>2</v>
      </c>
      <c r="D100" s="3">
        <v>3</v>
      </c>
      <c r="E100" s="3">
        <v>100</v>
      </c>
      <c r="F100">
        <v>86</v>
      </c>
      <c r="G100">
        <v>2022</v>
      </c>
      <c r="H100">
        <v>58</v>
      </c>
      <c r="I100" s="4">
        <f t="shared" si="12"/>
        <v>0.86363636363636365</v>
      </c>
      <c r="J100" s="3">
        <f t="shared" si="13"/>
        <v>0.86</v>
      </c>
      <c r="K100" s="4">
        <f t="shared" si="14"/>
        <v>0.97131552917903063</v>
      </c>
      <c r="L100" s="4">
        <f t="shared" si="15"/>
        <v>0.72142253394478906</v>
      </c>
    </row>
    <row r="101" spans="1:12" x14ac:dyDescent="0.3">
      <c r="A101" s="2">
        <v>45388</v>
      </c>
      <c r="B101" s="3">
        <v>24</v>
      </c>
      <c r="C101" s="3">
        <v>2</v>
      </c>
      <c r="D101" s="3">
        <v>3</v>
      </c>
      <c r="E101" s="3">
        <v>100</v>
      </c>
      <c r="F101">
        <v>80</v>
      </c>
      <c r="G101">
        <v>2257</v>
      </c>
      <c r="H101">
        <v>32</v>
      </c>
      <c r="I101" s="4">
        <f t="shared" si="12"/>
        <v>0.86363636363636365</v>
      </c>
      <c r="J101" s="3">
        <f t="shared" si="13"/>
        <v>0.8</v>
      </c>
      <c r="K101" s="4">
        <f t="shared" si="14"/>
        <v>0.98582188746123167</v>
      </c>
      <c r="L101" s="4">
        <f t="shared" si="15"/>
        <v>0.68111330406412374</v>
      </c>
    </row>
    <row r="102" spans="1:12" x14ac:dyDescent="0.3">
      <c r="A102" s="2">
        <v>45389</v>
      </c>
      <c r="B102" s="3">
        <v>24</v>
      </c>
      <c r="C102" s="3">
        <v>2</v>
      </c>
      <c r="D102" s="3">
        <v>3</v>
      </c>
      <c r="E102" s="3">
        <v>100</v>
      </c>
      <c r="F102">
        <v>91</v>
      </c>
      <c r="G102">
        <v>1788</v>
      </c>
      <c r="H102">
        <v>55</v>
      </c>
      <c r="I102" s="4">
        <f t="shared" si="12"/>
        <v>0.86363636363636365</v>
      </c>
      <c r="J102" s="3">
        <f t="shared" si="13"/>
        <v>0.91</v>
      </c>
      <c r="K102" s="4">
        <f t="shared" si="14"/>
        <v>0.96923937360178969</v>
      </c>
      <c r="L102" s="4">
        <f t="shared" si="15"/>
        <v>0.76173403498067926</v>
      </c>
    </row>
    <row r="103" spans="1:12" x14ac:dyDescent="0.3">
      <c r="A103" s="2">
        <v>45390</v>
      </c>
      <c r="B103" s="3">
        <v>24</v>
      </c>
      <c r="C103" s="3">
        <v>3</v>
      </c>
      <c r="D103" s="3">
        <v>3</v>
      </c>
      <c r="E103" s="3">
        <v>100</v>
      </c>
      <c r="F103">
        <v>96</v>
      </c>
      <c r="G103">
        <v>1827</v>
      </c>
      <c r="H103">
        <v>44</v>
      </c>
      <c r="I103" s="4">
        <f t="shared" si="12"/>
        <v>0.8571428571428571</v>
      </c>
      <c r="J103" s="3">
        <f t="shared" si="13"/>
        <v>0.96</v>
      </c>
      <c r="K103" s="4">
        <f t="shared" si="14"/>
        <v>0.97591680350301035</v>
      </c>
      <c r="L103" s="4">
        <f t="shared" si="15"/>
        <v>0.80304011259676267</v>
      </c>
    </row>
    <row r="104" spans="1:12" x14ac:dyDescent="0.3">
      <c r="A104" s="2">
        <v>45391</v>
      </c>
      <c r="B104" s="3">
        <v>24</v>
      </c>
      <c r="C104" s="3">
        <v>2</v>
      </c>
      <c r="D104" s="3">
        <v>3</v>
      </c>
      <c r="E104" s="3">
        <v>100</v>
      </c>
      <c r="F104">
        <v>88</v>
      </c>
      <c r="G104">
        <v>1873</v>
      </c>
      <c r="H104">
        <v>49</v>
      </c>
      <c r="I104" s="4">
        <f t="shared" si="12"/>
        <v>0.86363636363636365</v>
      </c>
      <c r="J104" s="3">
        <f t="shared" si="13"/>
        <v>0.88</v>
      </c>
      <c r="K104" s="4">
        <f t="shared" si="14"/>
        <v>0.97383876134543512</v>
      </c>
      <c r="L104" s="4">
        <f t="shared" si="15"/>
        <v>0.74011745862253076</v>
      </c>
    </row>
    <row r="105" spans="1:12" x14ac:dyDescent="0.3">
      <c r="A105" s="2">
        <v>45392</v>
      </c>
      <c r="B105" s="3">
        <v>24</v>
      </c>
      <c r="C105" s="3">
        <v>2</v>
      </c>
      <c r="D105" s="3">
        <v>3</v>
      </c>
      <c r="E105" s="3">
        <v>100</v>
      </c>
      <c r="F105">
        <v>96</v>
      </c>
      <c r="G105">
        <v>1776</v>
      </c>
      <c r="H105">
        <v>32</v>
      </c>
      <c r="I105" s="4">
        <f t="shared" si="12"/>
        <v>0.86363636363636365</v>
      </c>
      <c r="J105" s="3">
        <f t="shared" si="13"/>
        <v>0.96</v>
      </c>
      <c r="K105" s="4">
        <f t="shared" si="14"/>
        <v>0.98198198198198194</v>
      </c>
      <c r="L105" s="4">
        <f t="shared" si="15"/>
        <v>0.81415233415233412</v>
      </c>
    </row>
    <row r="106" spans="1:12" x14ac:dyDescent="0.3">
      <c r="A106" s="2">
        <v>45393</v>
      </c>
      <c r="B106" s="3">
        <v>24</v>
      </c>
      <c r="C106" s="3">
        <v>3</v>
      </c>
      <c r="D106" s="3">
        <v>3</v>
      </c>
      <c r="E106" s="3">
        <v>100</v>
      </c>
      <c r="F106">
        <v>91</v>
      </c>
      <c r="G106">
        <v>2060</v>
      </c>
      <c r="H106">
        <v>36</v>
      </c>
      <c r="I106" s="4">
        <f t="shared" si="12"/>
        <v>0.8571428571428571</v>
      </c>
      <c r="J106" s="3">
        <f t="shared" si="13"/>
        <v>0.91</v>
      </c>
      <c r="K106" s="4">
        <f t="shared" si="14"/>
        <v>0.98252427184466018</v>
      </c>
      <c r="L106" s="4">
        <f t="shared" si="15"/>
        <v>0.76636893203883494</v>
      </c>
    </row>
    <row r="107" spans="1:12" x14ac:dyDescent="0.3">
      <c r="A107" s="2">
        <v>45394</v>
      </c>
      <c r="B107" s="3">
        <v>24</v>
      </c>
      <c r="C107" s="3">
        <v>1</v>
      </c>
      <c r="D107" s="3">
        <v>2</v>
      </c>
      <c r="E107" s="3">
        <v>100</v>
      </c>
      <c r="F107">
        <v>95</v>
      </c>
      <c r="G107">
        <v>1898</v>
      </c>
      <c r="H107">
        <v>21</v>
      </c>
      <c r="I107" s="4">
        <f t="shared" si="12"/>
        <v>0.91304347826086951</v>
      </c>
      <c r="J107" s="3">
        <f t="shared" si="13"/>
        <v>0.95</v>
      </c>
      <c r="K107" s="4">
        <f t="shared" si="14"/>
        <v>0.98893572181243417</v>
      </c>
      <c r="L107" s="4">
        <f t="shared" si="15"/>
        <v>0.85779424565904605</v>
      </c>
    </row>
    <row r="108" spans="1:12" x14ac:dyDescent="0.3">
      <c r="A108" s="2">
        <v>45395</v>
      </c>
      <c r="B108" s="3">
        <v>24</v>
      </c>
      <c r="C108" s="3">
        <v>2</v>
      </c>
      <c r="D108" s="3">
        <v>1</v>
      </c>
      <c r="E108" s="3">
        <v>100</v>
      </c>
      <c r="F108">
        <v>85</v>
      </c>
      <c r="G108">
        <v>1917</v>
      </c>
      <c r="H108">
        <v>44</v>
      </c>
      <c r="I108" s="4">
        <f t="shared" si="12"/>
        <v>0.95454545454545459</v>
      </c>
      <c r="J108" s="3">
        <f t="shared" si="13"/>
        <v>0.85</v>
      </c>
      <c r="K108" s="4">
        <f t="shared" si="14"/>
        <v>0.97704747000521652</v>
      </c>
      <c r="L108" s="4">
        <f t="shared" si="15"/>
        <v>0.79274078816332338</v>
      </c>
    </row>
    <row r="109" spans="1:12" x14ac:dyDescent="0.3">
      <c r="A109" s="2">
        <v>45396</v>
      </c>
      <c r="B109" s="3">
        <v>24</v>
      </c>
      <c r="C109" s="3">
        <v>2</v>
      </c>
      <c r="D109" s="3">
        <v>2</v>
      </c>
      <c r="E109" s="3">
        <v>100</v>
      </c>
      <c r="F109">
        <v>99</v>
      </c>
      <c r="G109">
        <v>2072</v>
      </c>
      <c r="H109">
        <v>24</v>
      </c>
      <c r="I109" s="4">
        <f t="shared" si="12"/>
        <v>0.90909090909090906</v>
      </c>
      <c r="J109" s="3">
        <f t="shared" si="13"/>
        <v>0.99</v>
      </c>
      <c r="K109" s="4">
        <f t="shared" si="14"/>
        <v>0.98841698841698844</v>
      </c>
      <c r="L109" s="4">
        <f t="shared" si="15"/>
        <v>0.88957528957528953</v>
      </c>
    </row>
    <row r="110" spans="1:12" x14ac:dyDescent="0.3">
      <c r="A110" s="2">
        <v>45397</v>
      </c>
      <c r="B110" s="3">
        <v>24</v>
      </c>
      <c r="C110" s="3">
        <v>2</v>
      </c>
      <c r="D110" s="3">
        <v>1</v>
      </c>
      <c r="E110" s="3">
        <v>100</v>
      </c>
      <c r="F110">
        <v>85</v>
      </c>
      <c r="G110">
        <v>2078</v>
      </c>
      <c r="H110">
        <v>36</v>
      </c>
      <c r="I110" s="4">
        <f t="shared" si="12"/>
        <v>0.95454545454545459</v>
      </c>
      <c r="J110" s="3">
        <f t="shared" si="13"/>
        <v>0.85</v>
      </c>
      <c r="K110" s="4">
        <f t="shared" si="14"/>
        <v>0.98267564966313758</v>
      </c>
      <c r="L110" s="4">
        <f t="shared" si="15"/>
        <v>0.79730728847668209</v>
      </c>
    </row>
    <row r="111" spans="1:12" x14ac:dyDescent="0.3">
      <c r="A111" s="2">
        <v>45398</v>
      </c>
      <c r="B111" s="3">
        <v>24</v>
      </c>
      <c r="C111" s="3">
        <v>3</v>
      </c>
      <c r="D111" s="3">
        <v>2</v>
      </c>
      <c r="E111" s="3">
        <v>100</v>
      </c>
      <c r="F111">
        <v>84</v>
      </c>
      <c r="G111">
        <v>1735</v>
      </c>
      <c r="H111">
        <v>35</v>
      </c>
      <c r="I111" s="4">
        <f t="shared" si="12"/>
        <v>0.90476190476190477</v>
      </c>
      <c r="J111" s="3">
        <f t="shared" si="13"/>
        <v>0.84</v>
      </c>
      <c r="K111" s="4">
        <f t="shared" si="14"/>
        <v>0.97982708933717577</v>
      </c>
      <c r="L111" s="4">
        <f t="shared" si="15"/>
        <v>0.74466858789625356</v>
      </c>
    </row>
    <row r="112" spans="1:12" x14ac:dyDescent="0.3">
      <c r="A112" s="2">
        <v>45399</v>
      </c>
      <c r="B112" s="3">
        <v>24</v>
      </c>
      <c r="C112" s="3">
        <v>3</v>
      </c>
      <c r="D112" s="3">
        <v>1</v>
      </c>
      <c r="E112" s="3">
        <v>100</v>
      </c>
      <c r="F112">
        <v>99</v>
      </c>
      <c r="G112">
        <v>2168</v>
      </c>
      <c r="H112">
        <v>56</v>
      </c>
      <c r="I112" s="4">
        <f t="shared" si="12"/>
        <v>0.95238095238095233</v>
      </c>
      <c r="J112" s="3">
        <f t="shared" si="13"/>
        <v>0.99</v>
      </c>
      <c r="K112" s="4">
        <f t="shared" si="14"/>
        <v>0.97416974169741699</v>
      </c>
      <c r="L112" s="4">
        <f t="shared" si="15"/>
        <v>0.91850289931470741</v>
      </c>
    </row>
    <row r="113" spans="1:12" x14ac:dyDescent="0.3">
      <c r="A113" s="2">
        <v>45400</v>
      </c>
      <c r="B113" s="3">
        <v>24</v>
      </c>
      <c r="C113" s="3">
        <v>1</v>
      </c>
      <c r="D113" s="3">
        <v>2</v>
      </c>
      <c r="E113" s="3">
        <v>100</v>
      </c>
      <c r="F113">
        <v>99</v>
      </c>
      <c r="G113">
        <v>1738</v>
      </c>
      <c r="H113">
        <v>50</v>
      </c>
      <c r="I113" s="4">
        <f t="shared" si="12"/>
        <v>0.91304347826086951</v>
      </c>
      <c r="J113" s="3">
        <f t="shared" si="13"/>
        <v>0.99</v>
      </c>
      <c r="K113" s="4">
        <f t="shared" si="14"/>
        <v>0.97123130034522442</v>
      </c>
      <c r="L113" s="4">
        <f t="shared" si="15"/>
        <v>0.87790864061640062</v>
      </c>
    </row>
    <row r="114" spans="1:12" x14ac:dyDescent="0.3">
      <c r="A114" s="2">
        <v>45401</v>
      </c>
      <c r="B114" s="3">
        <v>24</v>
      </c>
      <c r="C114" s="3">
        <v>1</v>
      </c>
      <c r="D114" s="3">
        <v>1</v>
      </c>
      <c r="E114" s="3">
        <v>100</v>
      </c>
      <c r="F114">
        <v>80</v>
      </c>
      <c r="G114">
        <v>2089</v>
      </c>
      <c r="H114">
        <v>41</v>
      </c>
      <c r="I114" s="4">
        <f t="shared" si="12"/>
        <v>0.95652173913043481</v>
      </c>
      <c r="J114" s="3">
        <f t="shared" si="13"/>
        <v>0.8</v>
      </c>
      <c r="K114" s="4">
        <f t="shared" si="14"/>
        <v>0.9803733843944471</v>
      </c>
      <c r="L114" s="4">
        <f t="shared" si="15"/>
        <v>0.75019876371053351</v>
      </c>
    </row>
    <row r="115" spans="1:12" x14ac:dyDescent="0.3">
      <c r="A115" s="2">
        <v>45402</v>
      </c>
      <c r="B115" s="3">
        <v>24</v>
      </c>
      <c r="C115" s="3">
        <v>2</v>
      </c>
      <c r="D115" s="3">
        <v>3</v>
      </c>
      <c r="E115" s="3">
        <v>100</v>
      </c>
      <c r="F115">
        <v>85</v>
      </c>
      <c r="G115">
        <v>1732</v>
      </c>
      <c r="H115">
        <v>45</v>
      </c>
      <c r="I115" s="4">
        <f t="shared" si="12"/>
        <v>0.86363636363636365</v>
      </c>
      <c r="J115" s="3">
        <f t="shared" si="13"/>
        <v>0.85</v>
      </c>
      <c r="K115" s="4">
        <f t="shared" si="14"/>
        <v>0.97401847575057732</v>
      </c>
      <c r="L115" s="4">
        <f t="shared" si="15"/>
        <v>0.71501810833508295</v>
      </c>
    </row>
    <row r="116" spans="1:12" x14ac:dyDescent="0.3">
      <c r="A116" s="2">
        <v>45403</v>
      </c>
      <c r="B116" s="3">
        <v>24</v>
      </c>
      <c r="C116" s="3">
        <v>2</v>
      </c>
      <c r="D116" s="3">
        <v>2</v>
      </c>
      <c r="E116" s="3">
        <v>100</v>
      </c>
      <c r="F116">
        <v>97</v>
      </c>
      <c r="G116">
        <v>1939</v>
      </c>
      <c r="H116">
        <v>37</v>
      </c>
      <c r="I116" s="4">
        <f t="shared" si="12"/>
        <v>0.90909090909090906</v>
      </c>
      <c r="J116" s="3">
        <f t="shared" si="13"/>
        <v>0.97</v>
      </c>
      <c r="K116" s="4">
        <f t="shared" si="14"/>
        <v>0.98091799896854048</v>
      </c>
      <c r="L116" s="4">
        <f t="shared" si="15"/>
        <v>0.86499132636316745</v>
      </c>
    </row>
    <row r="117" spans="1:12" x14ac:dyDescent="0.3">
      <c r="A117" s="2">
        <v>45404</v>
      </c>
      <c r="B117" s="3">
        <v>24</v>
      </c>
      <c r="C117" s="3">
        <v>1</v>
      </c>
      <c r="D117" s="3">
        <v>3</v>
      </c>
      <c r="E117" s="3">
        <v>100</v>
      </c>
      <c r="F117">
        <v>89</v>
      </c>
      <c r="G117">
        <v>1848</v>
      </c>
      <c r="H117">
        <v>26</v>
      </c>
      <c r="I117" s="4">
        <f t="shared" si="12"/>
        <v>0.86956521739130432</v>
      </c>
      <c r="J117" s="3">
        <f t="shared" si="13"/>
        <v>0.89</v>
      </c>
      <c r="K117" s="4">
        <f t="shared" si="14"/>
        <v>0.98593073593073588</v>
      </c>
      <c r="L117" s="4">
        <f t="shared" si="15"/>
        <v>0.76302465650291729</v>
      </c>
    </row>
    <row r="118" spans="1:12" x14ac:dyDescent="0.3">
      <c r="A118" s="2">
        <v>45405</v>
      </c>
      <c r="B118" s="3">
        <v>24</v>
      </c>
      <c r="C118" s="3">
        <v>1</v>
      </c>
      <c r="D118" s="3">
        <v>1</v>
      </c>
      <c r="E118" s="3">
        <v>100</v>
      </c>
      <c r="F118">
        <v>85</v>
      </c>
      <c r="G118">
        <v>1832</v>
      </c>
      <c r="H118">
        <v>60</v>
      </c>
      <c r="I118" s="4">
        <f t="shared" si="12"/>
        <v>0.95652173913043481</v>
      </c>
      <c r="J118" s="3">
        <f t="shared" si="13"/>
        <v>0.85</v>
      </c>
      <c r="K118" s="4">
        <f t="shared" si="14"/>
        <v>0.96724890829694321</v>
      </c>
      <c r="L118" s="4">
        <f t="shared" si="15"/>
        <v>0.78641541674577553</v>
      </c>
    </row>
    <row r="119" spans="1:12" x14ac:dyDescent="0.3">
      <c r="A119" s="2">
        <v>45406</v>
      </c>
      <c r="B119" s="3">
        <v>24</v>
      </c>
      <c r="C119" s="3">
        <v>2</v>
      </c>
      <c r="D119" s="3">
        <v>1</v>
      </c>
      <c r="E119" s="3">
        <v>100</v>
      </c>
      <c r="F119">
        <v>92</v>
      </c>
      <c r="G119">
        <v>2050</v>
      </c>
      <c r="H119">
        <v>51</v>
      </c>
      <c r="I119" s="4">
        <f t="shared" si="12"/>
        <v>0.95454545454545459</v>
      </c>
      <c r="J119" s="3">
        <f t="shared" si="13"/>
        <v>0.92</v>
      </c>
      <c r="K119" s="4">
        <f t="shared" si="14"/>
        <v>0.97512195121951217</v>
      </c>
      <c r="L119" s="4">
        <f t="shared" si="15"/>
        <v>0.85633436807095353</v>
      </c>
    </row>
    <row r="120" spans="1:12" x14ac:dyDescent="0.3">
      <c r="A120" s="2">
        <v>45407</v>
      </c>
      <c r="B120" s="3">
        <v>24</v>
      </c>
      <c r="C120" s="3">
        <v>3</v>
      </c>
      <c r="D120" s="3">
        <v>3</v>
      </c>
      <c r="E120" s="3">
        <v>100</v>
      </c>
      <c r="F120">
        <v>85</v>
      </c>
      <c r="G120">
        <v>2136</v>
      </c>
      <c r="H120">
        <v>43</v>
      </c>
      <c r="I120" s="4">
        <f t="shared" si="12"/>
        <v>0.8571428571428571</v>
      </c>
      <c r="J120" s="3">
        <f t="shared" si="13"/>
        <v>0.85</v>
      </c>
      <c r="K120" s="4">
        <f t="shared" si="14"/>
        <v>0.97986891385767794</v>
      </c>
      <c r="L120" s="4">
        <f t="shared" si="15"/>
        <v>0.71390449438202241</v>
      </c>
    </row>
    <row r="121" spans="1:12" x14ac:dyDescent="0.3">
      <c r="A121" s="2">
        <v>45408</v>
      </c>
      <c r="B121" s="3">
        <v>24</v>
      </c>
      <c r="C121" s="3">
        <v>2</v>
      </c>
      <c r="D121" s="3">
        <v>1</v>
      </c>
      <c r="E121" s="3">
        <v>100</v>
      </c>
      <c r="F121">
        <v>86</v>
      </c>
      <c r="G121">
        <v>1981</v>
      </c>
      <c r="H121">
        <v>47</v>
      </c>
      <c r="I121" s="4">
        <f t="shared" si="12"/>
        <v>0.95454545454545459</v>
      </c>
      <c r="J121" s="3">
        <f t="shared" si="13"/>
        <v>0.86</v>
      </c>
      <c r="K121" s="4">
        <f t="shared" si="14"/>
        <v>0.97627460878344274</v>
      </c>
      <c r="L121" s="4">
        <f t="shared" si="15"/>
        <v>0.80143270157404434</v>
      </c>
    </row>
    <row r="122" spans="1:12" x14ac:dyDescent="0.3">
      <c r="A122" s="2">
        <v>45409</v>
      </c>
      <c r="B122" s="3">
        <v>24</v>
      </c>
      <c r="C122" s="3">
        <v>1</v>
      </c>
      <c r="D122" s="3">
        <v>3</v>
      </c>
      <c r="E122" s="3">
        <v>100</v>
      </c>
      <c r="F122">
        <v>87</v>
      </c>
      <c r="G122">
        <v>1749</v>
      </c>
      <c r="H122">
        <v>49</v>
      </c>
      <c r="I122" s="4">
        <f t="shared" si="12"/>
        <v>0.86956521739130432</v>
      </c>
      <c r="J122" s="3">
        <f t="shared" si="13"/>
        <v>0.87</v>
      </c>
      <c r="K122" s="4">
        <f t="shared" si="14"/>
        <v>0.97198399085191534</v>
      </c>
      <c r="L122" s="4">
        <f t="shared" si="15"/>
        <v>0.73532701916623155</v>
      </c>
    </row>
    <row r="123" spans="1:12" x14ac:dyDescent="0.3">
      <c r="A123" s="2">
        <v>45410</v>
      </c>
      <c r="B123" s="3">
        <v>24</v>
      </c>
      <c r="C123" s="3">
        <v>3</v>
      </c>
      <c r="D123" s="3">
        <v>3</v>
      </c>
      <c r="E123" s="3">
        <v>100</v>
      </c>
      <c r="F123">
        <v>85</v>
      </c>
      <c r="G123">
        <v>1825</v>
      </c>
      <c r="H123">
        <v>22</v>
      </c>
      <c r="I123" s="4">
        <f t="shared" si="12"/>
        <v>0.8571428571428571</v>
      </c>
      <c r="J123" s="3">
        <f t="shared" si="13"/>
        <v>0.85</v>
      </c>
      <c r="K123" s="4">
        <f t="shared" si="14"/>
        <v>0.98794520547945208</v>
      </c>
      <c r="L123" s="4">
        <f t="shared" si="15"/>
        <v>0.71978864970645795</v>
      </c>
    </row>
    <row r="124" spans="1:12" x14ac:dyDescent="0.3">
      <c r="A124" s="2">
        <v>45411</v>
      </c>
      <c r="B124" s="3">
        <v>24</v>
      </c>
      <c r="C124" s="3">
        <v>3</v>
      </c>
      <c r="D124" s="3">
        <v>2</v>
      </c>
      <c r="E124" s="3">
        <v>100</v>
      </c>
      <c r="F124">
        <v>82</v>
      </c>
      <c r="G124">
        <v>1831</v>
      </c>
      <c r="H124">
        <v>59</v>
      </c>
      <c r="I124" s="4">
        <f t="shared" si="12"/>
        <v>0.90476190476190477</v>
      </c>
      <c r="J124" s="3">
        <f t="shared" si="13"/>
        <v>0.82</v>
      </c>
      <c r="K124" s="4">
        <f t="shared" si="14"/>
        <v>0.96777717094483884</v>
      </c>
      <c r="L124" s="4">
        <f t="shared" si="15"/>
        <v>0.71799849158669471</v>
      </c>
    </row>
    <row r="125" spans="1:12" x14ac:dyDescent="0.3">
      <c r="A125" s="2">
        <v>45412</v>
      </c>
      <c r="B125" s="3">
        <v>24</v>
      </c>
      <c r="C125" s="3">
        <v>1</v>
      </c>
      <c r="D125" s="3">
        <v>3</v>
      </c>
      <c r="E125" s="3">
        <v>100</v>
      </c>
      <c r="F125">
        <v>87</v>
      </c>
      <c r="G125">
        <v>1918</v>
      </c>
      <c r="H125">
        <v>32</v>
      </c>
      <c r="I125" s="4">
        <f t="shared" si="12"/>
        <v>0.86956521739130432</v>
      </c>
      <c r="J125" s="3">
        <f t="shared" si="13"/>
        <v>0.87</v>
      </c>
      <c r="K125" s="4">
        <f t="shared" si="14"/>
        <v>0.98331595411887385</v>
      </c>
      <c r="L125" s="4">
        <f t="shared" si="15"/>
        <v>0.74389989572471327</v>
      </c>
    </row>
    <row r="126" spans="1:12" x14ac:dyDescent="0.3">
      <c r="A126" s="2">
        <v>45413</v>
      </c>
      <c r="B126" s="3">
        <v>24</v>
      </c>
      <c r="C126" s="3">
        <v>1</v>
      </c>
      <c r="D126" s="3">
        <v>1</v>
      </c>
      <c r="E126" s="3">
        <v>100</v>
      </c>
      <c r="F126">
        <v>84</v>
      </c>
      <c r="G126">
        <v>2051</v>
      </c>
      <c r="H126">
        <v>33</v>
      </c>
      <c r="I126" s="4">
        <f t="shared" si="12"/>
        <v>0.95652173913043481</v>
      </c>
      <c r="J126" s="3">
        <f t="shared" si="13"/>
        <v>0.84</v>
      </c>
      <c r="K126" s="4">
        <f t="shared" si="14"/>
        <v>0.98391028766455391</v>
      </c>
      <c r="L126" s="4">
        <f t="shared" si="15"/>
        <v>0.79055052678438942</v>
      </c>
    </row>
    <row r="127" spans="1:12" x14ac:dyDescent="0.3">
      <c r="A127" s="2">
        <v>45414</v>
      </c>
      <c r="B127" s="3">
        <v>24</v>
      </c>
      <c r="C127" s="3">
        <v>2</v>
      </c>
      <c r="D127" s="3">
        <v>3</v>
      </c>
      <c r="E127" s="3">
        <v>100</v>
      </c>
      <c r="F127">
        <v>91</v>
      </c>
      <c r="G127">
        <v>1819</v>
      </c>
      <c r="H127">
        <v>41</v>
      </c>
      <c r="I127" s="4">
        <f t="shared" si="12"/>
        <v>0.86363636363636365</v>
      </c>
      <c r="J127" s="3">
        <f t="shared" si="13"/>
        <v>0.91</v>
      </c>
      <c r="K127" s="4">
        <f t="shared" si="14"/>
        <v>0.97746014293567896</v>
      </c>
      <c r="L127" s="4">
        <f t="shared" si="15"/>
        <v>0.76819481233444953</v>
      </c>
    </row>
    <row r="128" spans="1:12" x14ac:dyDescent="0.3">
      <c r="A128" s="2">
        <v>45415</v>
      </c>
      <c r="B128" s="3">
        <v>24</v>
      </c>
      <c r="C128" s="3">
        <v>1</v>
      </c>
      <c r="D128" s="3">
        <v>1</v>
      </c>
      <c r="E128" s="3">
        <v>100</v>
      </c>
      <c r="F128">
        <v>95</v>
      </c>
      <c r="G128">
        <v>1813</v>
      </c>
      <c r="H128">
        <v>45</v>
      </c>
      <c r="I128" s="4">
        <f t="shared" si="12"/>
        <v>0.95652173913043481</v>
      </c>
      <c r="J128" s="3">
        <f t="shared" si="13"/>
        <v>0.95</v>
      </c>
      <c r="K128" s="4">
        <f t="shared" si="14"/>
        <v>0.97517926089354656</v>
      </c>
      <c r="L128" s="4">
        <f t="shared" si="15"/>
        <v>0.88614115446413577</v>
      </c>
    </row>
    <row r="129" spans="1:12" x14ac:dyDescent="0.3">
      <c r="A129" s="2">
        <v>45416</v>
      </c>
      <c r="B129" s="3">
        <v>24</v>
      </c>
      <c r="C129" s="3">
        <v>2</v>
      </c>
      <c r="D129" s="3">
        <v>2</v>
      </c>
      <c r="E129" s="3">
        <v>100</v>
      </c>
      <c r="F129">
        <v>98</v>
      </c>
      <c r="G129">
        <v>1905</v>
      </c>
      <c r="H129">
        <v>37</v>
      </c>
      <c r="I129" s="4">
        <f t="shared" si="12"/>
        <v>0.90909090909090906</v>
      </c>
      <c r="J129" s="3">
        <f t="shared" si="13"/>
        <v>0.98</v>
      </c>
      <c r="K129" s="4">
        <f t="shared" si="14"/>
        <v>0.98057742782152235</v>
      </c>
      <c r="L129" s="4">
        <f t="shared" si="15"/>
        <v>0.87360534478644714</v>
      </c>
    </row>
    <row r="130" spans="1:12" x14ac:dyDescent="0.3">
      <c r="A130" s="2">
        <v>45417</v>
      </c>
      <c r="B130" s="3">
        <v>24</v>
      </c>
      <c r="C130" s="3">
        <v>1</v>
      </c>
      <c r="D130" s="3">
        <v>2</v>
      </c>
      <c r="E130" s="3">
        <v>100</v>
      </c>
      <c r="F130">
        <v>80</v>
      </c>
      <c r="G130">
        <v>2130</v>
      </c>
      <c r="H130">
        <v>45</v>
      </c>
      <c r="I130" s="4">
        <f t="shared" si="12"/>
        <v>0.91304347826086951</v>
      </c>
      <c r="J130" s="3">
        <f t="shared" si="13"/>
        <v>0.8</v>
      </c>
      <c r="K130" s="4">
        <f t="shared" si="14"/>
        <v>0.97887323943661975</v>
      </c>
      <c r="L130" s="4">
        <f t="shared" si="15"/>
        <v>0.71500306184935702</v>
      </c>
    </row>
    <row r="131" spans="1:12" x14ac:dyDescent="0.3">
      <c r="A131" s="2">
        <v>45418</v>
      </c>
      <c r="B131" s="3">
        <v>24</v>
      </c>
      <c r="C131" s="3">
        <v>1</v>
      </c>
      <c r="D131" s="3">
        <v>1</v>
      </c>
      <c r="E131" s="3">
        <v>100</v>
      </c>
      <c r="F131">
        <v>84</v>
      </c>
      <c r="G131">
        <v>1729</v>
      </c>
      <c r="H131">
        <v>30</v>
      </c>
      <c r="I131" s="4">
        <f t="shared" si="12"/>
        <v>0.95652173913043481</v>
      </c>
      <c r="J131" s="3">
        <f t="shared" si="13"/>
        <v>0.84</v>
      </c>
      <c r="K131" s="4">
        <f t="shared" si="14"/>
        <v>0.9826489300173511</v>
      </c>
      <c r="L131" s="4">
        <f t="shared" si="15"/>
        <v>0.78953705333568036</v>
      </c>
    </row>
    <row r="132" spans="1:12" x14ac:dyDescent="0.3">
      <c r="A132" s="2">
        <v>45419</v>
      </c>
      <c r="B132" s="3">
        <v>24</v>
      </c>
      <c r="C132" s="3">
        <v>2</v>
      </c>
      <c r="D132" s="3">
        <v>1</v>
      </c>
      <c r="E132" s="3">
        <v>100</v>
      </c>
      <c r="F132">
        <v>80</v>
      </c>
      <c r="G132">
        <v>1861</v>
      </c>
      <c r="H132">
        <v>30</v>
      </c>
      <c r="I132" s="4">
        <f t="shared" si="12"/>
        <v>0.95454545454545459</v>
      </c>
      <c r="J132" s="3">
        <f t="shared" si="13"/>
        <v>0.8</v>
      </c>
      <c r="K132" s="4">
        <f t="shared" si="14"/>
        <v>0.98387963460505101</v>
      </c>
      <c r="L132" s="4">
        <f t="shared" si="15"/>
        <v>0.75132626642567535</v>
      </c>
    </row>
    <row r="133" spans="1:12" x14ac:dyDescent="0.3">
      <c r="A133" s="2">
        <v>45420</v>
      </c>
      <c r="B133" s="3">
        <v>24</v>
      </c>
      <c r="C133" s="3">
        <v>2</v>
      </c>
      <c r="D133" s="3">
        <v>1</v>
      </c>
      <c r="E133" s="3">
        <v>100</v>
      </c>
      <c r="F133">
        <v>100</v>
      </c>
      <c r="G133">
        <v>1881</v>
      </c>
      <c r="H133">
        <v>36</v>
      </c>
      <c r="I133" s="4">
        <f t="shared" si="12"/>
        <v>0.95454545454545459</v>
      </c>
      <c r="J133" s="3">
        <f t="shared" si="13"/>
        <v>1</v>
      </c>
      <c r="K133" s="4">
        <f t="shared" si="14"/>
        <v>0.98086124401913877</v>
      </c>
      <c r="L133" s="4">
        <f t="shared" si="15"/>
        <v>0.93627664201826888</v>
      </c>
    </row>
    <row r="134" spans="1:12" x14ac:dyDescent="0.3">
      <c r="A134" s="2">
        <v>45421</v>
      </c>
      <c r="B134" s="3">
        <v>24</v>
      </c>
      <c r="C134" s="3">
        <v>2</v>
      </c>
      <c r="D134" s="3">
        <v>2</v>
      </c>
      <c r="E134" s="3">
        <v>100</v>
      </c>
      <c r="F134">
        <v>92</v>
      </c>
      <c r="G134">
        <v>1808</v>
      </c>
      <c r="H134">
        <v>45</v>
      </c>
      <c r="I134" s="4">
        <f t="shared" si="12"/>
        <v>0.90909090909090906</v>
      </c>
      <c r="J134" s="3">
        <f t="shared" si="13"/>
        <v>0.92</v>
      </c>
      <c r="K134" s="4">
        <f t="shared" si="14"/>
        <v>0.97511061946902655</v>
      </c>
      <c r="L134" s="4">
        <f t="shared" si="15"/>
        <v>0.81554706355591322</v>
      </c>
    </row>
    <row r="135" spans="1:12" x14ac:dyDescent="0.3">
      <c r="A135" s="2">
        <v>45422</v>
      </c>
      <c r="B135" s="3">
        <v>24</v>
      </c>
      <c r="C135" s="3">
        <v>2</v>
      </c>
      <c r="D135" s="3">
        <v>3</v>
      </c>
      <c r="E135" s="3">
        <v>100</v>
      </c>
      <c r="F135">
        <v>83</v>
      </c>
      <c r="G135">
        <v>1700</v>
      </c>
      <c r="H135">
        <v>27</v>
      </c>
      <c r="I135" s="4">
        <f t="shared" si="12"/>
        <v>0.86363636363636365</v>
      </c>
      <c r="J135" s="3">
        <f t="shared" si="13"/>
        <v>0.83</v>
      </c>
      <c r="K135" s="4">
        <f t="shared" si="14"/>
        <v>0.98411764705882354</v>
      </c>
      <c r="L135" s="4">
        <f t="shared" si="15"/>
        <v>0.70543342245989304</v>
      </c>
    </row>
    <row r="136" spans="1:12" x14ac:dyDescent="0.3">
      <c r="A136" s="2">
        <v>45423</v>
      </c>
      <c r="B136" s="3">
        <v>24</v>
      </c>
      <c r="C136" s="3">
        <v>2</v>
      </c>
      <c r="D136" s="3">
        <v>2</v>
      </c>
      <c r="E136" s="3">
        <v>100</v>
      </c>
      <c r="F136">
        <v>97</v>
      </c>
      <c r="G136">
        <v>1911</v>
      </c>
      <c r="H136">
        <v>27</v>
      </c>
      <c r="I136" s="4">
        <f t="shared" si="12"/>
        <v>0.90909090909090906</v>
      </c>
      <c r="J136" s="3">
        <f t="shared" si="13"/>
        <v>0.97</v>
      </c>
      <c r="K136" s="4">
        <f t="shared" si="14"/>
        <v>0.98587127158555732</v>
      </c>
      <c r="L136" s="4">
        <f t="shared" si="15"/>
        <v>0.86935921221635504</v>
      </c>
    </row>
    <row r="137" spans="1:12" x14ac:dyDescent="0.3">
      <c r="A137" s="2">
        <v>45424</v>
      </c>
      <c r="B137" s="3">
        <v>24</v>
      </c>
      <c r="C137" s="3">
        <v>2</v>
      </c>
      <c r="D137" s="3">
        <v>3</v>
      </c>
      <c r="E137" s="3">
        <v>100</v>
      </c>
      <c r="F137">
        <v>97</v>
      </c>
      <c r="G137">
        <v>2111</v>
      </c>
      <c r="H137">
        <v>57</v>
      </c>
      <c r="I137" s="4">
        <f t="shared" si="12"/>
        <v>0.86363636363636365</v>
      </c>
      <c r="J137" s="3">
        <f t="shared" si="13"/>
        <v>0.97</v>
      </c>
      <c r="K137" s="4">
        <f t="shared" si="14"/>
        <v>0.97299857887257224</v>
      </c>
      <c r="L137" s="4">
        <f t="shared" si="15"/>
        <v>0.81510744584643213</v>
      </c>
    </row>
    <row r="138" spans="1:12" x14ac:dyDescent="0.3">
      <c r="A138" s="2">
        <v>45425</v>
      </c>
      <c r="B138" s="3">
        <v>24</v>
      </c>
      <c r="C138" s="3">
        <v>1</v>
      </c>
      <c r="D138" s="3">
        <v>1</v>
      </c>
      <c r="E138" s="3">
        <v>100</v>
      </c>
      <c r="F138">
        <v>91</v>
      </c>
      <c r="G138">
        <v>2253</v>
      </c>
      <c r="H138">
        <v>54</v>
      </c>
      <c r="I138" s="4">
        <f t="shared" si="12"/>
        <v>0.95652173913043481</v>
      </c>
      <c r="J138" s="3">
        <f t="shared" si="13"/>
        <v>0.91</v>
      </c>
      <c r="K138" s="4">
        <f t="shared" si="14"/>
        <v>0.97603195739014648</v>
      </c>
      <c r="L138" s="4">
        <f t="shared" si="15"/>
        <v>0.84957216465003182</v>
      </c>
    </row>
    <row r="139" spans="1:12" x14ac:dyDescent="0.3">
      <c r="A139" s="2">
        <v>45426</v>
      </c>
      <c r="B139" s="3">
        <v>24</v>
      </c>
      <c r="C139" s="3">
        <v>2</v>
      </c>
      <c r="D139" s="3">
        <v>3</v>
      </c>
      <c r="E139" s="3">
        <v>100</v>
      </c>
      <c r="F139">
        <v>87</v>
      </c>
      <c r="G139">
        <v>2239</v>
      </c>
      <c r="H139">
        <v>35</v>
      </c>
      <c r="I139" s="4">
        <f t="shared" si="12"/>
        <v>0.86363636363636365</v>
      </c>
      <c r="J139" s="3">
        <f t="shared" si="13"/>
        <v>0.87</v>
      </c>
      <c r="K139" s="4">
        <f t="shared" si="14"/>
        <v>0.98436802143814206</v>
      </c>
      <c r="L139" s="4">
        <f t="shared" si="15"/>
        <v>0.73961833610784034</v>
      </c>
    </row>
    <row r="140" spans="1:12" x14ac:dyDescent="0.3">
      <c r="A140" s="2">
        <v>45427</v>
      </c>
      <c r="B140" s="3">
        <v>24</v>
      </c>
      <c r="C140" s="3">
        <v>2</v>
      </c>
      <c r="D140" s="3">
        <v>1</v>
      </c>
      <c r="E140" s="3">
        <v>100</v>
      </c>
      <c r="F140">
        <v>91</v>
      </c>
      <c r="G140">
        <v>1941</v>
      </c>
      <c r="H140">
        <v>28</v>
      </c>
      <c r="I140" s="4">
        <f t="shared" si="12"/>
        <v>0.95454545454545459</v>
      </c>
      <c r="J140" s="3">
        <f t="shared" si="13"/>
        <v>0.91</v>
      </c>
      <c r="K140" s="4">
        <f t="shared" si="14"/>
        <v>0.98557444616177226</v>
      </c>
      <c r="L140" s="4">
        <f t="shared" si="15"/>
        <v>0.85610580300688488</v>
      </c>
    </row>
    <row r="141" spans="1:12" x14ac:dyDescent="0.3">
      <c r="A141" s="2">
        <v>45428</v>
      </c>
      <c r="B141" s="3">
        <v>24</v>
      </c>
      <c r="C141" s="3">
        <v>1</v>
      </c>
      <c r="D141" s="3">
        <v>3</v>
      </c>
      <c r="E141" s="3">
        <v>100</v>
      </c>
      <c r="F141">
        <v>94</v>
      </c>
      <c r="G141">
        <v>2084</v>
      </c>
      <c r="H141">
        <v>39</v>
      </c>
      <c r="I141" s="4">
        <f t="shared" si="12"/>
        <v>0.86956521739130432</v>
      </c>
      <c r="J141" s="3">
        <f t="shared" si="13"/>
        <v>0.94</v>
      </c>
      <c r="K141" s="4">
        <f t="shared" si="14"/>
        <v>0.9812859884836852</v>
      </c>
      <c r="L141" s="4">
        <f t="shared" si="15"/>
        <v>0.8020946340649252</v>
      </c>
    </row>
    <row r="142" spans="1:12" x14ac:dyDescent="0.3">
      <c r="A142" s="2">
        <v>45429</v>
      </c>
      <c r="B142" s="3">
        <v>24</v>
      </c>
      <c r="C142" s="3">
        <v>1</v>
      </c>
      <c r="D142" s="3">
        <v>3</v>
      </c>
      <c r="E142" s="3">
        <v>100</v>
      </c>
      <c r="F142">
        <v>92</v>
      </c>
      <c r="G142">
        <v>1901</v>
      </c>
      <c r="H142">
        <v>39</v>
      </c>
      <c r="I142" s="4">
        <f t="shared" si="12"/>
        <v>0.86956521739130432</v>
      </c>
      <c r="J142" s="3">
        <f t="shared" si="13"/>
        <v>0.92</v>
      </c>
      <c r="K142" s="4">
        <f t="shared" si="14"/>
        <v>0.97948448185165704</v>
      </c>
      <c r="L142" s="4">
        <f t="shared" si="15"/>
        <v>0.78358758548132568</v>
      </c>
    </row>
    <row r="143" spans="1:12" x14ac:dyDescent="0.3">
      <c r="A143" s="2">
        <v>45430</v>
      </c>
      <c r="B143" s="3">
        <v>24</v>
      </c>
      <c r="C143" s="3">
        <v>2</v>
      </c>
      <c r="D143" s="3">
        <v>2</v>
      </c>
      <c r="E143" s="3">
        <v>100</v>
      </c>
      <c r="F143">
        <v>100</v>
      </c>
      <c r="G143">
        <v>1936</v>
      </c>
      <c r="H143">
        <v>38</v>
      </c>
      <c r="I143" s="4">
        <f t="shared" ref="I143:I206" si="16">(B143-C143-D143)/(B143-C143)</f>
        <v>0.90909090909090906</v>
      </c>
      <c r="J143" s="3">
        <f t="shared" ref="J143:J206" si="17">F143/E143</f>
        <v>1</v>
      </c>
      <c r="K143" s="4">
        <f t="shared" ref="K143:K206" si="18">(G143-H143)/G143</f>
        <v>0.98037190082644632</v>
      </c>
      <c r="L143" s="4">
        <f t="shared" ref="L143:L206" si="19">I143*J143*K143</f>
        <v>0.89124718256949664</v>
      </c>
    </row>
    <row r="144" spans="1:12" x14ac:dyDescent="0.3">
      <c r="A144" s="2">
        <v>45431</v>
      </c>
      <c r="B144" s="3">
        <v>24</v>
      </c>
      <c r="C144" s="3">
        <v>2</v>
      </c>
      <c r="D144" s="3">
        <v>2</v>
      </c>
      <c r="E144" s="3">
        <v>100</v>
      </c>
      <c r="F144">
        <v>81</v>
      </c>
      <c r="G144">
        <v>2104</v>
      </c>
      <c r="H144">
        <v>38</v>
      </c>
      <c r="I144" s="4">
        <f t="shared" si="16"/>
        <v>0.90909090909090906</v>
      </c>
      <c r="J144" s="3">
        <f t="shared" si="17"/>
        <v>0.81</v>
      </c>
      <c r="K144" s="4">
        <f t="shared" si="18"/>
        <v>0.98193916349809884</v>
      </c>
      <c r="L144" s="4">
        <f t="shared" si="19"/>
        <v>0.72306429312132736</v>
      </c>
    </row>
    <row r="145" spans="1:12" x14ac:dyDescent="0.3">
      <c r="A145" s="2">
        <v>45432</v>
      </c>
      <c r="B145" s="3">
        <v>24</v>
      </c>
      <c r="C145" s="3">
        <v>1</v>
      </c>
      <c r="D145" s="3">
        <v>3</v>
      </c>
      <c r="E145" s="3">
        <v>100</v>
      </c>
      <c r="F145">
        <v>96</v>
      </c>
      <c r="G145">
        <v>1782</v>
      </c>
      <c r="H145">
        <v>29</v>
      </c>
      <c r="I145" s="4">
        <f t="shared" si="16"/>
        <v>0.86956521739130432</v>
      </c>
      <c r="J145" s="3">
        <f t="shared" si="17"/>
        <v>0.96</v>
      </c>
      <c r="K145" s="4">
        <f t="shared" si="18"/>
        <v>0.98372615039281708</v>
      </c>
      <c r="L145" s="4">
        <f t="shared" si="19"/>
        <v>0.82119748206704724</v>
      </c>
    </row>
    <row r="146" spans="1:12" x14ac:dyDescent="0.3">
      <c r="A146" s="2">
        <v>45433</v>
      </c>
      <c r="B146" s="3">
        <v>24</v>
      </c>
      <c r="C146" s="3">
        <v>1</v>
      </c>
      <c r="D146" s="3">
        <v>3</v>
      </c>
      <c r="E146" s="3">
        <v>100</v>
      </c>
      <c r="F146">
        <v>99</v>
      </c>
      <c r="G146">
        <v>1888</v>
      </c>
      <c r="H146">
        <v>34</v>
      </c>
      <c r="I146" s="4">
        <f t="shared" si="16"/>
        <v>0.86956521739130432</v>
      </c>
      <c r="J146" s="3">
        <f t="shared" si="17"/>
        <v>0.99</v>
      </c>
      <c r="K146" s="4">
        <f t="shared" si="18"/>
        <v>0.98199152542372881</v>
      </c>
      <c r="L146" s="4">
        <f t="shared" si="19"/>
        <v>0.84536661753868825</v>
      </c>
    </row>
    <row r="147" spans="1:12" x14ac:dyDescent="0.3">
      <c r="A147" s="2">
        <v>45434</v>
      </c>
      <c r="B147" s="3">
        <v>24</v>
      </c>
      <c r="C147" s="3">
        <v>2</v>
      </c>
      <c r="D147" s="3">
        <v>3</v>
      </c>
      <c r="E147" s="3">
        <v>100</v>
      </c>
      <c r="F147">
        <v>81</v>
      </c>
      <c r="G147">
        <v>2015</v>
      </c>
      <c r="H147">
        <v>22</v>
      </c>
      <c r="I147" s="4">
        <f t="shared" si="16"/>
        <v>0.86363636363636365</v>
      </c>
      <c r="J147" s="3">
        <f t="shared" si="17"/>
        <v>0.81</v>
      </c>
      <c r="K147" s="4">
        <f t="shared" si="18"/>
        <v>0.98908188585607937</v>
      </c>
      <c r="L147" s="4">
        <f t="shared" si="19"/>
        <v>0.69190773742386646</v>
      </c>
    </row>
    <row r="148" spans="1:12" x14ac:dyDescent="0.3">
      <c r="A148" s="2">
        <v>45435</v>
      </c>
      <c r="B148" s="3">
        <v>24</v>
      </c>
      <c r="C148" s="3">
        <v>3</v>
      </c>
      <c r="D148" s="3">
        <v>3</v>
      </c>
      <c r="E148" s="3">
        <v>100</v>
      </c>
      <c r="F148">
        <v>86</v>
      </c>
      <c r="G148">
        <v>2164</v>
      </c>
      <c r="H148">
        <v>26</v>
      </c>
      <c r="I148" s="4">
        <f t="shared" si="16"/>
        <v>0.8571428571428571</v>
      </c>
      <c r="J148" s="3">
        <f t="shared" si="17"/>
        <v>0.86</v>
      </c>
      <c r="K148" s="4">
        <f t="shared" si="18"/>
        <v>0.98798521256931604</v>
      </c>
      <c r="L148" s="4">
        <f t="shared" si="19"/>
        <v>0.72828624240823869</v>
      </c>
    </row>
    <row r="149" spans="1:12" x14ac:dyDescent="0.3">
      <c r="A149" s="2">
        <v>45436</v>
      </c>
      <c r="B149" s="3">
        <v>24</v>
      </c>
      <c r="C149" s="3">
        <v>2</v>
      </c>
      <c r="D149" s="3">
        <v>3</v>
      </c>
      <c r="E149" s="3">
        <v>100</v>
      </c>
      <c r="F149">
        <v>84</v>
      </c>
      <c r="G149">
        <v>2198</v>
      </c>
      <c r="H149">
        <v>36</v>
      </c>
      <c r="I149" s="4">
        <f t="shared" si="16"/>
        <v>0.86363636363636365</v>
      </c>
      <c r="J149" s="3">
        <f t="shared" si="17"/>
        <v>0.84</v>
      </c>
      <c r="K149" s="4">
        <f t="shared" si="18"/>
        <v>0.98362147406733391</v>
      </c>
      <c r="L149" s="4">
        <f t="shared" si="19"/>
        <v>0.71357266936884767</v>
      </c>
    </row>
    <row r="150" spans="1:12" x14ac:dyDescent="0.3">
      <c r="A150" s="2">
        <v>45437</v>
      </c>
      <c r="B150" s="3">
        <v>24</v>
      </c>
      <c r="C150" s="3">
        <v>2</v>
      </c>
      <c r="D150" s="3">
        <v>1</v>
      </c>
      <c r="E150" s="3">
        <v>100</v>
      </c>
      <c r="F150">
        <v>97</v>
      </c>
      <c r="G150">
        <v>2044</v>
      </c>
      <c r="H150">
        <v>50</v>
      </c>
      <c r="I150" s="4">
        <f t="shared" si="16"/>
        <v>0.95454545454545459</v>
      </c>
      <c r="J150" s="3">
        <f t="shared" si="17"/>
        <v>0.97</v>
      </c>
      <c r="K150" s="4">
        <f t="shared" si="18"/>
        <v>0.97553816046966735</v>
      </c>
      <c r="L150" s="4">
        <f t="shared" si="19"/>
        <v>0.90325965130759656</v>
      </c>
    </row>
    <row r="151" spans="1:12" x14ac:dyDescent="0.3">
      <c r="A151" s="2">
        <v>45438</v>
      </c>
      <c r="B151" s="3">
        <v>24</v>
      </c>
      <c r="C151" s="3">
        <v>1</v>
      </c>
      <c r="D151" s="3">
        <v>2</v>
      </c>
      <c r="E151" s="3">
        <v>100</v>
      </c>
      <c r="F151">
        <v>91</v>
      </c>
      <c r="G151">
        <v>1945</v>
      </c>
      <c r="H151">
        <v>37</v>
      </c>
      <c r="I151" s="4">
        <f t="shared" si="16"/>
        <v>0.91304347826086951</v>
      </c>
      <c r="J151" s="3">
        <f t="shared" si="17"/>
        <v>0.91</v>
      </c>
      <c r="K151" s="4">
        <f t="shared" si="18"/>
        <v>0.98097686375321336</v>
      </c>
      <c r="L151" s="4">
        <f t="shared" si="19"/>
        <v>0.8150638202749525</v>
      </c>
    </row>
    <row r="152" spans="1:12" x14ac:dyDescent="0.3">
      <c r="A152" s="2">
        <v>45439</v>
      </c>
      <c r="B152" s="3">
        <v>24</v>
      </c>
      <c r="C152" s="3">
        <v>1</v>
      </c>
      <c r="D152" s="3">
        <v>1</v>
      </c>
      <c r="E152" s="3">
        <v>100</v>
      </c>
      <c r="F152">
        <v>97</v>
      </c>
      <c r="G152">
        <v>2172</v>
      </c>
      <c r="H152">
        <v>52</v>
      </c>
      <c r="I152" s="4">
        <f t="shared" si="16"/>
        <v>0.95652173913043481</v>
      </c>
      <c r="J152" s="3">
        <f t="shared" si="17"/>
        <v>0.97</v>
      </c>
      <c r="K152" s="4">
        <f t="shared" si="18"/>
        <v>0.97605893186003678</v>
      </c>
      <c r="L152" s="4">
        <f t="shared" si="19"/>
        <v>0.90561293938666021</v>
      </c>
    </row>
    <row r="153" spans="1:12" x14ac:dyDescent="0.3">
      <c r="A153" s="2">
        <v>45440</v>
      </c>
      <c r="B153" s="3">
        <v>24</v>
      </c>
      <c r="C153" s="3">
        <v>2</v>
      </c>
      <c r="D153" s="3">
        <v>1</v>
      </c>
      <c r="E153" s="3">
        <v>100</v>
      </c>
      <c r="F153">
        <v>88</v>
      </c>
      <c r="G153">
        <v>1772</v>
      </c>
      <c r="H153">
        <v>54</v>
      </c>
      <c r="I153" s="4">
        <f t="shared" si="16"/>
        <v>0.95454545454545459</v>
      </c>
      <c r="J153" s="3">
        <f t="shared" si="17"/>
        <v>0.88</v>
      </c>
      <c r="K153" s="4">
        <f t="shared" si="18"/>
        <v>0.96952595936794583</v>
      </c>
      <c r="L153" s="4">
        <f t="shared" si="19"/>
        <v>0.81440180586907462</v>
      </c>
    </row>
    <row r="154" spans="1:12" x14ac:dyDescent="0.3">
      <c r="A154" s="2">
        <v>45441</v>
      </c>
      <c r="B154" s="3">
        <v>24</v>
      </c>
      <c r="C154" s="3">
        <v>2</v>
      </c>
      <c r="D154" s="3">
        <v>1</v>
      </c>
      <c r="E154" s="3">
        <v>100</v>
      </c>
      <c r="F154">
        <v>87</v>
      </c>
      <c r="G154">
        <v>1878</v>
      </c>
      <c r="H154">
        <v>56</v>
      </c>
      <c r="I154" s="4">
        <f t="shared" si="16"/>
        <v>0.95454545454545459</v>
      </c>
      <c r="J154" s="3">
        <f t="shared" si="17"/>
        <v>0.87</v>
      </c>
      <c r="K154" s="4">
        <f t="shared" si="18"/>
        <v>0.9701810436634718</v>
      </c>
      <c r="L154" s="4">
        <f t="shared" si="19"/>
        <v>0.80569125762416494</v>
      </c>
    </row>
    <row r="155" spans="1:12" x14ac:dyDescent="0.3">
      <c r="A155" s="2">
        <v>45442</v>
      </c>
      <c r="B155" s="3">
        <v>24</v>
      </c>
      <c r="C155" s="3">
        <v>2</v>
      </c>
      <c r="D155" s="3">
        <v>3</v>
      </c>
      <c r="E155" s="3">
        <v>100</v>
      </c>
      <c r="F155">
        <v>88</v>
      </c>
      <c r="G155">
        <v>2020</v>
      </c>
      <c r="H155">
        <v>60</v>
      </c>
      <c r="I155" s="4">
        <f t="shared" si="16"/>
        <v>0.86363636363636365</v>
      </c>
      <c r="J155" s="3">
        <f t="shared" si="17"/>
        <v>0.88</v>
      </c>
      <c r="K155" s="4">
        <f t="shared" si="18"/>
        <v>0.97029702970297027</v>
      </c>
      <c r="L155" s="4">
        <f t="shared" si="19"/>
        <v>0.73742574257425741</v>
      </c>
    </row>
    <row r="156" spans="1:12" x14ac:dyDescent="0.3">
      <c r="A156" s="2">
        <v>45443</v>
      </c>
      <c r="B156" s="3">
        <v>24</v>
      </c>
      <c r="C156" s="3">
        <v>3</v>
      </c>
      <c r="D156" s="3">
        <v>2</v>
      </c>
      <c r="E156" s="3">
        <v>100</v>
      </c>
      <c r="F156">
        <v>100</v>
      </c>
      <c r="G156">
        <v>1918</v>
      </c>
      <c r="H156">
        <v>60</v>
      </c>
      <c r="I156" s="4">
        <f t="shared" si="16"/>
        <v>0.90476190476190477</v>
      </c>
      <c r="J156" s="3">
        <f t="shared" si="17"/>
        <v>1</v>
      </c>
      <c r="K156" s="4">
        <f t="shared" si="18"/>
        <v>0.96871741397288846</v>
      </c>
      <c r="L156" s="4">
        <f t="shared" si="19"/>
        <v>0.8764586126421372</v>
      </c>
    </row>
    <row r="157" spans="1:12" x14ac:dyDescent="0.3">
      <c r="A157" s="2">
        <v>45444</v>
      </c>
      <c r="B157" s="3">
        <v>24</v>
      </c>
      <c r="C157" s="3">
        <v>2</v>
      </c>
      <c r="D157" s="3">
        <v>1</v>
      </c>
      <c r="E157" s="3">
        <v>100</v>
      </c>
      <c r="F157">
        <v>97</v>
      </c>
      <c r="G157">
        <v>2040</v>
      </c>
      <c r="H157">
        <v>28</v>
      </c>
      <c r="I157" s="4">
        <f t="shared" si="16"/>
        <v>0.95454545454545459</v>
      </c>
      <c r="J157" s="3">
        <f t="shared" si="17"/>
        <v>0.97</v>
      </c>
      <c r="K157" s="4">
        <f t="shared" si="18"/>
        <v>0.98627450980392162</v>
      </c>
      <c r="L157" s="4">
        <f t="shared" si="19"/>
        <v>0.91320053475935836</v>
      </c>
    </row>
    <row r="158" spans="1:12" x14ac:dyDescent="0.3">
      <c r="A158" s="2">
        <v>45445</v>
      </c>
      <c r="B158" s="3">
        <v>24</v>
      </c>
      <c r="C158" s="3">
        <v>2</v>
      </c>
      <c r="D158" s="3">
        <v>1</v>
      </c>
      <c r="E158" s="3">
        <v>100</v>
      </c>
      <c r="F158">
        <v>83</v>
      </c>
      <c r="G158">
        <v>2198</v>
      </c>
      <c r="H158">
        <v>58</v>
      </c>
      <c r="I158" s="4">
        <f t="shared" si="16"/>
        <v>0.95454545454545459</v>
      </c>
      <c r="J158" s="3">
        <f t="shared" si="17"/>
        <v>0.83</v>
      </c>
      <c r="K158" s="4">
        <f t="shared" si="18"/>
        <v>0.97361237488626029</v>
      </c>
      <c r="L158" s="4">
        <f t="shared" si="19"/>
        <v>0.77136653155761437</v>
      </c>
    </row>
    <row r="159" spans="1:12" x14ac:dyDescent="0.3">
      <c r="A159" s="2">
        <v>45446</v>
      </c>
      <c r="B159" s="3">
        <v>24</v>
      </c>
      <c r="C159" s="3">
        <v>3</v>
      </c>
      <c r="D159" s="3">
        <v>2</v>
      </c>
      <c r="E159" s="3">
        <v>100</v>
      </c>
      <c r="F159">
        <v>83</v>
      </c>
      <c r="G159">
        <v>1705</v>
      </c>
      <c r="H159">
        <v>43</v>
      </c>
      <c r="I159" s="4">
        <f t="shared" si="16"/>
        <v>0.90476190476190477</v>
      </c>
      <c r="J159" s="3">
        <f t="shared" si="17"/>
        <v>0.83</v>
      </c>
      <c r="K159" s="4">
        <f t="shared" si="18"/>
        <v>0.97478005865102635</v>
      </c>
      <c r="L159" s="4">
        <f t="shared" si="19"/>
        <v>0.73201340594888975</v>
      </c>
    </row>
    <row r="160" spans="1:12" x14ac:dyDescent="0.3">
      <c r="A160" s="2">
        <v>45447</v>
      </c>
      <c r="B160" s="3">
        <v>24</v>
      </c>
      <c r="C160" s="3">
        <v>2</v>
      </c>
      <c r="D160" s="3">
        <v>1</v>
      </c>
      <c r="E160" s="3">
        <v>100</v>
      </c>
      <c r="F160">
        <v>91</v>
      </c>
      <c r="G160">
        <v>2093</v>
      </c>
      <c r="H160">
        <v>55</v>
      </c>
      <c r="I160" s="4">
        <f t="shared" si="16"/>
        <v>0.95454545454545459</v>
      </c>
      <c r="J160" s="3">
        <f t="shared" si="17"/>
        <v>0.91</v>
      </c>
      <c r="K160" s="4">
        <f t="shared" si="18"/>
        <v>0.97372193024366938</v>
      </c>
      <c r="L160" s="4">
        <f t="shared" si="19"/>
        <v>0.84581027667984188</v>
      </c>
    </row>
    <row r="161" spans="1:12" x14ac:dyDescent="0.3">
      <c r="A161" s="2">
        <v>45448</v>
      </c>
      <c r="B161" s="3">
        <v>24</v>
      </c>
      <c r="C161" s="3">
        <v>1</v>
      </c>
      <c r="D161" s="3">
        <v>1</v>
      </c>
      <c r="E161" s="3">
        <v>100</v>
      </c>
      <c r="F161">
        <v>82</v>
      </c>
      <c r="G161">
        <v>1883</v>
      </c>
      <c r="H161">
        <v>41</v>
      </c>
      <c r="I161" s="4">
        <f t="shared" si="16"/>
        <v>0.95652173913043481</v>
      </c>
      <c r="J161" s="3">
        <f t="shared" si="17"/>
        <v>0.82</v>
      </c>
      <c r="K161" s="4">
        <f t="shared" si="18"/>
        <v>0.97822623473181092</v>
      </c>
      <c r="L161" s="4">
        <f t="shared" si="19"/>
        <v>0.76726962063312476</v>
      </c>
    </row>
    <row r="162" spans="1:12" x14ac:dyDescent="0.3">
      <c r="A162" s="2">
        <v>45449</v>
      </c>
      <c r="B162" s="3">
        <v>24</v>
      </c>
      <c r="C162" s="3">
        <v>2</v>
      </c>
      <c r="D162" s="3">
        <v>1</v>
      </c>
      <c r="E162" s="3">
        <v>100</v>
      </c>
      <c r="F162">
        <v>96</v>
      </c>
      <c r="G162">
        <v>2052</v>
      </c>
      <c r="H162">
        <v>37</v>
      </c>
      <c r="I162" s="4">
        <f t="shared" si="16"/>
        <v>0.95454545454545459</v>
      </c>
      <c r="J162" s="3">
        <f t="shared" si="17"/>
        <v>0.96</v>
      </c>
      <c r="K162" s="4">
        <f t="shared" si="18"/>
        <v>0.98196881091617938</v>
      </c>
      <c r="L162" s="4">
        <f t="shared" si="19"/>
        <v>0.89984051036682622</v>
      </c>
    </row>
    <row r="163" spans="1:12" x14ac:dyDescent="0.3">
      <c r="A163" s="2">
        <v>45450</v>
      </c>
      <c r="B163" s="3">
        <v>24</v>
      </c>
      <c r="C163" s="3">
        <v>3</v>
      </c>
      <c r="D163" s="3">
        <v>1</v>
      </c>
      <c r="E163" s="3">
        <v>100</v>
      </c>
      <c r="F163">
        <v>88</v>
      </c>
      <c r="G163">
        <v>1998</v>
      </c>
      <c r="H163">
        <v>29</v>
      </c>
      <c r="I163" s="4">
        <f t="shared" si="16"/>
        <v>0.95238095238095233</v>
      </c>
      <c r="J163" s="3">
        <f t="shared" si="17"/>
        <v>0.88</v>
      </c>
      <c r="K163" s="4">
        <f t="shared" si="18"/>
        <v>0.98548548548548554</v>
      </c>
      <c r="L163" s="4">
        <f t="shared" si="19"/>
        <v>0.82593069259735918</v>
      </c>
    </row>
    <row r="164" spans="1:12" x14ac:dyDescent="0.3">
      <c r="A164" s="2">
        <v>45451</v>
      </c>
      <c r="B164" s="3">
        <v>24</v>
      </c>
      <c r="C164" s="3">
        <v>3</v>
      </c>
      <c r="D164" s="3">
        <v>1</v>
      </c>
      <c r="E164" s="3">
        <v>100</v>
      </c>
      <c r="F164">
        <v>90</v>
      </c>
      <c r="G164">
        <v>2140</v>
      </c>
      <c r="H164">
        <v>35</v>
      </c>
      <c r="I164" s="4">
        <f t="shared" si="16"/>
        <v>0.95238095238095233</v>
      </c>
      <c r="J164" s="3">
        <f t="shared" si="17"/>
        <v>0.9</v>
      </c>
      <c r="K164" s="4">
        <f t="shared" si="18"/>
        <v>0.98364485981308414</v>
      </c>
      <c r="L164" s="4">
        <f t="shared" si="19"/>
        <v>0.8431241655540721</v>
      </c>
    </row>
    <row r="165" spans="1:12" x14ac:dyDescent="0.3">
      <c r="A165" s="2">
        <v>45452</v>
      </c>
      <c r="B165" s="3">
        <v>24</v>
      </c>
      <c r="C165" s="3">
        <v>3</v>
      </c>
      <c r="D165" s="3">
        <v>3</v>
      </c>
      <c r="E165" s="3">
        <v>100</v>
      </c>
      <c r="F165">
        <v>88</v>
      </c>
      <c r="G165">
        <v>2031</v>
      </c>
      <c r="H165">
        <v>48</v>
      </c>
      <c r="I165" s="4">
        <f t="shared" si="16"/>
        <v>0.8571428571428571</v>
      </c>
      <c r="J165" s="3">
        <f t="shared" si="17"/>
        <v>0.88</v>
      </c>
      <c r="K165" s="4">
        <f t="shared" si="18"/>
        <v>0.97636632200886264</v>
      </c>
      <c r="L165" s="4">
        <f t="shared" si="19"/>
        <v>0.7364591686009706</v>
      </c>
    </row>
    <row r="166" spans="1:12" x14ac:dyDescent="0.3">
      <c r="A166" s="2">
        <v>45453</v>
      </c>
      <c r="B166" s="3">
        <v>24</v>
      </c>
      <c r="C166" s="3">
        <v>2</v>
      </c>
      <c r="D166" s="3">
        <v>1</v>
      </c>
      <c r="E166" s="3">
        <v>100</v>
      </c>
      <c r="F166">
        <v>96</v>
      </c>
      <c r="G166">
        <v>1894</v>
      </c>
      <c r="H166">
        <v>45</v>
      </c>
      <c r="I166" s="4">
        <f t="shared" si="16"/>
        <v>0.95454545454545459</v>
      </c>
      <c r="J166" s="3">
        <f t="shared" si="17"/>
        <v>0.96</v>
      </c>
      <c r="K166" s="4">
        <f t="shared" si="18"/>
        <v>0.97624076029567053</v>
      </c>
      <c r="L166" s="4">
        <f t="shared" si="19"/>
        <v>0.89459153307094175</v>
      </c>
    </row>
    <row r="167" spans="1:12" x14ac:dyDescent="0.3">
      <c r="A167" s="2">
        <v>45454</v>
      </c>
      <c r="B167" s="3">
        <v>24</v>
      </c>
      <c r="C167" s="3">
        <v>2</v>
      </c>
      <c r="D167" s="3">
        <v>3</v>
      </c>
      <c r="E167" s="3">
        <v>100</v>
      </c>
      <c r="F167">
        <v>84</v>
      </c>
      <c r="G167">
        <v>1724</v>
      </c>
      <c r="H167">
        <v>43</v>
      </c>
      <c r="I167" s="4">
        <f t="shared" si="16"/>
        <v>0.86363636363636365</v>
      </c>
      <c r="J167" s="3">
        <f t="shared" si="17"/>
        <v>0.84</v>
      </c>
      <c r="K167" s="4">
        <f t="shared" si="18"/>
        <v>0.97505800464037118</v>
      </c>
      <c r="L167" s="4">
        <f t="shared" si="19"/>
        <v>0.70736026154819653</v>
      </c>
    </row>
    <row r="168" spans="1:12" x14ac:dyDescent="0.3">
      <c r="A168" s="2">
        <v>45455</v>
      </c>
      <c r="B168" s="3">
        <v>24</v>
      </c>
      <c r="C168" s="3">
        <v>2</v>
      </c>
      <c r="D168" s="3">
        <v>2</v>
      </c>
      <c r="E168" s="3">
        <v>100</v>
      </c>
      <c r="F168">
        <v>91</v>
      </c>
      <c r="G168">
        <v>1901</v>
      </c>
      <c r="H168">
        <v>49</v>
      </c>
      <c r="I168" s="4">
        <f t="shared" si="16"/>
        <v>0.90909090909090906</v>
      </c>
      <c r="J168" s="3">
        <f t="shared" si="17"/>
        <v>0.91</v>
      </c>
      <c r="K168" s="4">
        <f t="shared" si="18"/>
        <v>0.97422409258285114</v>
      </c>
      <c r="L168" s="4">
        <f t="shared" si="19"/>
        <v>0.8059490220458132</v>
      </c>
    </row>
    <row r="169" spans="1:12" x14ac:dyDescent="0.3">
      <c r="A169" s="2">
        <v>45456</v>
      </c>
      <c r="B169" s="3">
        <v>24</v>
      </c>
      <c r="C169" s="3">
        <v>3</v>
      </c>
      <c r="D169" s="3">
        <v>1</v>
      </c>
      <c r="E169" s="3">
        <v>100</v>
      </c>
      <c r="F169">
        <v>84</v>
      </c>
      <c r="G169">
        <v>2198</v>
      </c>
      <c r="H169">
        <v>25</v>
      </c>
      <c r="I169" s="4">
        <f t="shared" si="16"/>
        <v>0.95238095238095233</v>
      </c>
      <c r="J169" s="3">
        <f t="shared" si="17"/>
        <v>0.84</v>
      </c>
      <c r="K169" s="4">
        <f t="shared" si="18"/>
        <v>0.98862602365787078</v>
      </c>
      <c r="L169" s="4">
        <f t="shared" si="19"/>
        <v>0.7909008189262966</v>
      </c>
    </row>
    <row r="170" spans="1:12" x14ac:dyDescent="0.3">
      <c r="A170" s="2">
        <v>45457</v>
      </c>
      <c r="B170" s="3">
        <v>24</v>
      </c>
      <c r="C170" s="3">
        <v>3</v>
      </c>
      <c r="D170" s="3">
        <v>3</v>
      </c>
      <c r="E170" s="3">
        <v>100</v>
      </c>
      <c r="F170">
        <v>82</v>
      </c>
      <c r="G170">
        <v>2056</v>
      </c>
      <c r="H170">
        <v>44</v>
      </c>
      <c r="I170" s="4">
        <f t="shared" si="16"/>
        <v>0.8571428571428571</v>
      </c>
      <c r="J170" s="3">
        <f t="shared" si="17"/>
        <v>0.82</v>
      </c>
      <c r="K170" s="4">
        <f t="shared" si="18"/>
        <v>0.97859922178988323</v>
      </c>
      <c r="L170" s="4">
        <f t="shared" si="19"/>
        <v>0.68781545302946068</v>
      </c>
    </row>
    <row r="171" spans="1:12" x14ac:dyDescent="0.3">
      <c r="A171" s="2">
        <v>45458</v>
      </c>
      <c r="B171" s="3">
        <v>24</v>
      </c>
      <c r="C171" s="3">
        <v>1</v>
      </c>
      <c r="D171" s="3">
        <v>3</v>
      </c>
      <c r="E171" s="3">
        <v>100</v>
      </c>
      <c r="F171">
        <v>92</v>
      </c>
      <c r="G171">
        <v>1890</v>
      </c>
      <c r="H171">
        <v>55</v>
      </c>
      <c r="I171" s="4">
        <f t="shared" si="16"/>
        <v>0.86956521739130432</v>
      </c>
      <c r="J171" s="3">
        <f t="shared" si="17"/>
        <v>0.92</v>
      </c>
      <c r="K171" s="4">
        <f t="shared" si="18"/>
        <v>0.97089947089947093</v>
      </c>
      <c r="L171" s="4">
        <f t="shared" si="19"/>
        <v>0.77671957671957681</v>
      </c>
    </row>
    <row r="172" spans="1:12" x14ac:dyDescent="0.3">
      <c r="A172" s="2">
        <v>45459</v>
      </c>
      <c r="B172" s="3">
        <v>24</v>
      </c>
      <c r="C172" s="3">
        <v>3</v>
      </c>
      <c r="D172" s="3">
        <v>2</v>
      </c>
      <c r="E172" s="3">
        <v>100</v>
      </c>
      <c r="F172">
        <v>90</v>
      </c>
      <c r="G172">
        <v>2048</v>
      </c>
      <c r="H172">
        <v>52</v>
      </c>
      <c r="I172" s="4">
        <f t="shared" si="16"/>
        <v>0.90476190476190477</v>
      </c>
      <c r="J172" s="3">
        <f t="shared" si="17"/>
        <v>0.9</v>
      </c>
      <c r="K172" s="4">
        <f t="shared" si="18"/>
        <v>0.974609375</v>
      </c>
      <c r="L172" s="4">
        <f t="shared" si="19"/>
        <v>0.79361049107142856</v>
      </c>
    </row>
    <row r="173" spans="1:12" x14ac:dyDescent="0.3">
      <c r="A173" s="2">
        <v>45460</v>
      </c>
      <c r="B173" s="3">
        <v>24</v>
      </c>
      <c r="C173" s="3">
        <v>1</v>
      </c>
      <c r="D173" s="3">
        <v>1</v>
      </c>
      <c r="E173" s="3">
        <v>100</v>
      </c>
      <c r="F173">
        <v>93</v>
      </c>
      <c r="G173">
        <v>2182</v>
      </c>
      <c r="H173">
        <v>55</v>
      </c>
      <c r="I173" s="4">
        <f t="shared" si="16"/>
        <v>0.95652173913043481</v>
      </c>
      <c r="J173" s="3">
        <f t="shared" si="17"/>
        <v>0.93</v>
      </c>
      <c r="K173" s="4">
        <f t="shared" si="18"/>
        <v>0.97479376718606781</v>
      </c>
      <c r="L173" s="4">
        <f t="shared" si="19"/>
        <v>0.86714262941856302</v>
      </c>
    </row>
    <row r="174" spans="1:12" x14ac:dyDescent="0.3">
      <c r="A174" s="2">
        <v>45461</v>
      </c>
      <c r="B174" s="3">
        <v>24</v>
      </c>
      <c r="C174" s="3">
        <v>1</v>
      </c>
      <c r="D174" s="3">
        <v>2</v>
      </c>
      <c r="E174" s="3">
        <v>100</v>
      </c>
      <c r="F174">
        <v>85</v>
      </c>
      <c r="G174">
        <v>1789</v>
      </c>
      <c r="H174">
        <v>52</v>
      </c>
      <c r="I174" s="4">
        <f t="shared" si="16"/>
        <v>0.91304347826086951</v>
      </c>
      <c r="J174" s="3">
        <f t="shared" si="17"/>
        <v>0.85</v>
      </c>
      <c r="K174" s="4">
        <f t="shared" si="18"/>
        <v>0.97093348239239796</v>
      </c>
      <c r="L174" s="4">
        <f t="shared" si="19"/>
        <v>0.75352881133496974</v>
      </c>
    </row>
    <row r="175" spans="1:12" x14ac:dyDescent="0.3">
      <c r="A175" s="2">
        <v>45462</v>
      </c>
      <c r="B175" s="3">
        <v>24</v>
      </c>
      <c r="C175" s="3">
        <v>1</v>
      </c>
      <c r="D175" s="3">
        <v>1</v>
      </c>
      <c r="E175" s="3">
        <v>100</v>
      </c>
      <c r="F175">
        <v>87</v>
      </c>
      <c r="G175">
        <v>2280</v>
      </c>
      <c r="H175">
        <v>56</v>
      </c>
      <c r="I175" s="4">
        <f t="shared" si="16"/>
        <v>0.95652173913043481</v>
      </c>
      <c r="J175" s="3">
        <f t="shared" si="17"/>
        <v>0.87</v>
      </c>
      <c r="K175" s="4">
        <f t="shared" si="18"/>
        <v>0.9754385964912281</v>
      </c>
      <c r="L175" s="4">
        <f t="shared" si="19"/>
        <v>0.81173455377574377</v>
      </c>
    </row>
    <row r="176" spans="1:12" x14ac:dyDescent="0.3">
      <c r="A176" s="2">
        <v>45463</v>
      </c>
      <c r="B176" s="3">
        <v>24</v>
      </c>
      <c r="C176" s="3">
        <v>2</v>
      </c>
      <c r="D176" s="3">
        <v>2</v>
      </c>
      <c r="E176" s="3">
        <v>100</v>
      </c>
      <c r="F176">
        <v>96</v>
      </c>
      <c r="G176">
        <v>2072</v>
      </c>
      <c r="H176">
        <v>44</v>
      </c>
      <c r="I176" s="4">
        <f t="shared" si="16"/>
        <v>0.90909090909090906</v>
      </c>
      <c r="J176" s="3">
        <f t="shared" si="17"/>
        <v>0.96</v>
      </c>
      <c r="K176" s="4">
        <f t="shared" si="18"/>
        <v>0.97876447876447881</v>
      </c>
      <c r="L176" s="4">
        <f t="shared" si="19"/>
        <v>0.85419445419445417</v>
      </c>
    </row>
    <row r="177" spans="1:12" x14ac:dyDescent="0.3">
      <c r="A177" s="2">
        <v>45464</v>
      </c>
      <c r="B177" s="3">
        <v>24</v>
      </c>
      <c r="C177" s="3">
        <v>3</v>
      </c>
      <c r="D177" s="3">
        <v>1</v>
      </c>
      <c r="E177" s="3">
        <v>100</v>
      </c>
      <c r="F177">
        <v>99</v>
      </c>
      <c r="G177">
        <v>2070</v>
      </c>
      <c r="H177">
        <v>53</v>
      </c>
      <c r="I177" s="4">
        <f t="shared" si="16"/>
        <v>0.95238095238095233</v>
      </c>
      <c r="J177" s="3">
        <f t="shared" si="17"/>
        <v>0.99</v>
      </c>
      <c r="K177" s="4">
        <f t="shared" si="18"/>
        <v>0.97439613526570046</v>
      </c>
      <c r="L177" s="4">
        <f t="shared" si="19"/>
        <v>0.91871635610766045</v>
      </c>
    </row>
    <row r="178" spans="1:12" x14ac:dyDescent="0.3">
      <c r="A178" s="2">
        <v>45465</v>
      </c>
      <c r="B178" s="3">
        <v>24</v>
      </c>
      <c r="C178" s="3">
        <v>3</v>
      </c>
      <c r="D178" s="3">
        <v>1</v>
      </c>
      <c r="E178" s="3">
        <v>100</v>
      </c>
      <c r="F178">
        <v>99</v>
      </c>
      <c r="G178">
        <v>1762</v>
      </c>
      <c r="H178">
        <v>39</v>
      </c>
      <c r="I178" s="4">
        <f t="shared" si="16"/>
        <v>0.95238095238095233</v>
      </c>
      <c r="J178" s="3">
        <f t="shared" si="17"/>
        <v>0.99</v>
      </c>
      <c r="K178" s="4">
        <f t="shared" si="18"/>
        <v>0.97786606129398412</v>
      </c>
      <c r="L178" s="4">
        <f t="shared" si="19"/>
        <v>0.92198800064861364</v>
      </c>
    </row>
    <row r="179" spans="1:12" x14ac:dyDescent="0.3">
      <c r="A179" s="2">
        <v>45466</v>
      </c>
      <c r="B179" s="3">
        <v>24</v>
      </c>
      <c r="C179" s="3">
        <v>1</v>
      </c>
      <c r="D179" s="3">
        <v>2</v>
      </c>
      <c r="E179" s="3">
        <v>100</v>
      </c>
      <c r="F179">
        <v>100</v>
      </c>
      <c r="G179">
        <v>2112</v>
      </c>
      <c r="H179">
        <v>25</v>
      </c>
      <c r="I179" s="4">
        <f t="shared" si="16"/>
        <v>0.91304347826086951</v>
      </c>
      <c r="J179" s="3">
        <f t="shared" si="17"/>
        <v>1</v>
      </c>
      <c r="K179" s="4">
        <f t="shared" si="18"/>
        <v>0.98816287878787878</v>
      </c>
      <c r="L179" s="4">
        <f t="shared" si="19"/>
        <v>0.9022356719367588</v>
      </c>
    </row>
    <row r="180" spans="1:12" x14ac:dyDescent="0.3">
      <c r="A180" s="2">
        <v>45467</v>
      </c>
      <c r="B180" s="3">
        <v>24</v>
      </c>
      <c r="C180" s="3">
        <v>3</v>
      </c>
      <c r="D180" s="3">
        <v>2</v>
      </c>
      <c r="E180" s="3">
        <v>100</v>
      </c>
      <c r="F180">
        <v>93</v>
      </c>
      <c r="G180">
        <v>2060</v>
      </c>
      <c r="H180">
        <v>51</v>
      </c>
      <c r="I180" s="4">
        <f t="shared" si="16"/>
        <v>0.90476190476190477</v>
      </c>
      <c r="J180" s="3">
        <f t="shared" si="17"/>
        <v>0.93</v>
      </c>
      <c r="K180" s="4">
        <f t="shared" si="18"/>
        <v>0.97524271844660193</v>
      </c>
      <c r="L180" s="4">
        <f t="shared" si="19"/>
        <v>0.8205970873786409</v>
      </c>
    </row>
    <row r="181" spans="1:12" x14ac:dyDescent="0.3">
      <c r="A181" s="2">
        <v>45468</v>
      </c>
      <c r="B181" s="3">
        <v>24</v>
      </c>
      <c r="C181" s="3">
        <v>1</v>
      </c>
      <c r="D181" s="3">
        <v>3</v>
      </c>
      <c r="E181" s="3">
        <v>100</v>
      </c>
      <c r="F181">
        <v>94</v>
      </c>
      <c r="G181">
        <v>2045</v>
      </c>
      <c r="H181">
        <v>45</v>
      </c>
      <c r="I181" s="4">
        <f t="shared" si="16"/>
        <v>0.86956521739130432</v>
      </c>
      <c r="J181" s="3">
        <f t="shared" si="17"/>
        <v>0.94</v>
      </c>
      <c r="K181" s="4">
        <f t="shared" si="18"/>
        <v>0.97799511002444983</v>
      </c>
      <c r="L181" s="4">
        <f t="shared" si="19"/>
        <v>0.79940469862868069</v>
      </c>
    </row>
    <row r="182" spans="1:12" x14ac:dyDescent="0.3">
      <c r="A182" s="2">
        <v>45469</v>
      </c>
      <c r="B182" s="3">
        <v>24</v>
      </c>
      <c r="C182" s="3">
        <v>1</v>
      </c>
      <c r="D182" s="3">
        <v>3</v>
      </c>
      <c r="E182" s="3">
        <v>100</v>
      </c>
      <c r="F182">
        <v>90</v>
      </c>
      <c r="G182">
        <v>1978</v>
      </c>
      <c r="H182">
        <v>38</v>
      </c>
      <c r="I182" s="4">
        <f t="shared" si="16"/>
        <v>0.86956521739130432</v>
      </c>
      <c r="J182" s="3">
        <f t="shared" si="17"/>
        <v>0.9</v>
      </c>
      <c r="K182" s="4">
        <f t="shared" si="18"/>
        <v>0.98078867542972703</v>
      </c>
      <c r="L182" s="4">
        <f t="shared" si="19"/>
        <v>0.76757374598848205</v>
      </c>
    </row>
    <row r="183" spans="1:12" x14ac:dyDescent="0.3">
      <c r="A183" s="2">
        <v>45470</v>
      </c>
      <c r="B183" s="3">
        <v>24</v>
      </c>
      <c r="C183" s="3">
        <v>3</v>
      </c>
      <c r="D183" s="3">
        <v>3</v>
      </c>
      <c r="E183" s="3">
        <v>100</v>
      </c>
      <c r="F183">
        <v>89</v>
      </c>
      <c r="G183">
        <v>2278</v>
      </c>
      <c r="H183">
        <v>47</v>
      </c>
      <c r="I183" s="4">
        <f t="shared" si="16"/>
        <v>0.8571428571428571</v>
      </c>
      <c r="J183" s="3">
        <f t="shared" si="17"/>
        <v>0.89</v>
      </c>
      <c r="K183" s="4">
        <f t="shared" si="18"/>
        <v>0.97936786654960495</v>
      </c>
      <c r="L183" s="4">
        <f t="shared" si="19"/>
        <v>0.74711777248212718</v>
      </c>
    </row>
    <row r="184" spans="1:12" x14ac:dyDescent="0.3">
      <c r="A184" s="2">
        <v>45471</v>
      </c>
      <c r="B184" s="3">
        <v>24</v>
      </c>
      <c r="C184" s="3">
        <v>3</v>
      </c>
      <c r="D184" s="3">
        <v>2</v>
      </c>
      <c r="E184" s="3">
        <v>100</v>
      </c>
      <c r="F184">
        <v>89</v>
      </c>
      <c r="G184">
        <v>2159</v>
      </c>
      <c r="H184">
        <v>35</v>
      </c>
      <c r="I184" s="4">
        <f t="shared" si="16"/>
        <v>0.90476190476190477</v>
      </c>
      <c r="J184" s="3">
        <f t="shared" si="17"/>
        <v>0.89</v>
      </c>
      <c r="K184" s="4">
        <f t="shared" si="18"/>
        <v>0.98378879110699402</v>
      </c>
      <c r="L184" s="4">
        <f t="shared" si="19"/>
        <v>0.79218421226758429</v>
      </c>
    </row>
    <row r="185" spans="1:12" x14ac:dyDescent="0.3">
      <c r="A185" s="2">
        <v>45472</v>
      </c>
      <c r="B185" s="3">
        <v>24</v>
      </c>
      <c r="C185" s="3">
        <v>3</v>
      </c>
      <c r="D185" s="3">
        <v>3</v>
      </c>
      <c r="E185" s="3">
        <v>100</v>
      </c>
      <c r="F185">
        <v>92</v>
      </c>
      <c r="G185">
        <v>2246</v>
      </c>
      <c r="H185">
        <v>20</v>
      </c>
      <c r="I185" s="4">
        <f t="shared" si="16"/>
        <v>0.8571428571428571</v>
      </c>
      <c r="J185" s="3">
        <f t="shared" si="17"/>
        <v>0.92</v>
      </c>
      <c r="K185" s="4">
        <f t="shared" si="18"/>
        <v>0.99109528049866424</v>
      </c>
      <c r="L185" s="4">
        <f t="shared" si="19"/>
        <v>0.78154942119323234</v>
      </c>
    </row>
    <row r="186" spans="1:12" x14ac:dyDescent="0.3">
      <c r="A186" s="2">
        <v>45473</v>
      </c>
      <c r="B186" s="3">
        <v>24</v>
      </c>
      <c r="C186" s="3">
        <v>3</v>
      </c>
      <c r="D186" s="3">
        <v>1</v>
      </c>
      <c r="E186" s="3">
        <v>100</v>
      </c>
      <c r="F186">
        <v>82</v>
      </c>
      <c r="G186">
        <v>1712</v>
      </c>
      <c r="H186">
        <v>60</v>
      </c>
      <c r="I186" s="4">
        <f t="shared" si="16"/>
        <v>0.95238095238095233</v>
      </c>
      <c r="J186" s="3">
        <f t="shared" si="17"/>
        <v>0.82</v>
      </c>
      <c r="K186" s="4">
        <f t="shared" si="18"/>
        <v>0.96495327102803741</v>
      </c>
      <c r="L186" s="4">
        <f t="shared" si="19"/>
        <v>0.75358255451713385</v>
      </c>
    </row>
    <row r="187" spans="1:12" x14ac:dyDescent="0.3">
      <c r="A187" s="2">
        <v>45474</v>
      </c>
      <c r="B187" s="3">
        <v>24</v>
      </c>
      <c r="C187" s="3">
        <v>2</v>
      </c>
      <c r="D187" s="3">
        <v>2</v>
      </c>
      <c r="E187" s="3">
        <v>100</v>
      </c>
      <c r="F187">
        <v>87</v>
      </c>
      <c r="G187">
        <v>1931</v>
      </c>
      <c r="H187">
        <v>36</v>
      </c>
      <c r="I187" s="4">
        <f t="shared" si="16"/>
        <v>0.90909090909090906</v>
      </c>
      <c r="J187" s="3">
        <f t="shared" si="17"/>
        <v>0.87</v>
      </c>
      <c r="K187" s="4">
        <f t="shared" si="18"/>
        <v>0.98135680994303465</v>
      </c>
      <c r="L187" s="4">
        <f t="shared" si="19"/>
        <v>0.77616402240949101</v>
      </c>
    </row>
    <row r="188" spans="1:12" x14ac:dyDescent="0.3">
      <c r="A188" s="2">
        <v>45475</v>
      </c>
      <c r="B188" s="3">
        <v>24</v>
      </c>
      <c r="C188" s="3">
        <v>3</v>
      </c>
      <c r="D188" s="3">
        <v>2</v>
      </c>
      <c r="E188" s="3">
        <v>100</v>
      </c>
      <c r="F188">
        <v>81</v>
      </c>
      <c r="G188">
        <v>2271</v>
      </c>
      <c r="H188">
        <v>55</v>
      </c>
      <c r="I188" s="4">
        <f t="shared" si="16"/>
        <v>0.90476190476190477</v>
      </c>
      <c r="J188" s="3">
        <f t="shared" si="17"/>
        <v>0.81</v>
      </c>
      <c r="K188" s="4">
        <f t="shared" si="18"/>
        <v>0.97578159401144871</v>
      </c>
      <c r="L188" s="4">
        <f t="shared" si="19"/>
        <v>0.71510851103981887</v>
      </c>
    </row>
    <row r="189" spans="1:12" x14ac:dyDescent="0.3">
      <c r="A189" s="2">
        <v>45476</v>
      </c>
      <c r="B189" s="3">
        <v>24</v>
      </c>
      <c r="C189" s="3">
        <v>3</v>
      </c>
      <c r="D189" s="3">
        <v>1</v>
      </c>
      <c r="E189" s="3">
        <v>100</v>
      </c>
      <c r="F189">
        <v>92</v>
      </c>
      <c r="G189">
        <v>2065</v>
      </c>
      <c r="H189">
        <v>42</v>
      </c>
      <c r="I189" s="4">
        <f t="shared" si="16"/>
        <v>0.95238095238095233</v>
      </c>
      <c r="J189" s="3">
        <f t="shared" si="17"/>
        <v>0.92</v>
      </c>
      <c r="K189" s="4">
        <f t="shared" si="18"/>
        <v>0.97966101694915253</v>
      </c>
      <c r="L189" s="4">
        <f t="shared" si="19"/>
        <v>0.85836965294592416</v>
      </c>
    </row>
    <row r="190" spans="1:12" x14ac:dyDescent="0.3">
      <c r="A190" s="2">
        <v>45477</v>
      </c>
      <c r="B190" s="3">
        <v>24</v>
      </c>
      <c r="C190" s="3">
        <v>3</v>
      </c>
      <c r="D190" s="3">
        <v>2</v>
      </c>
      <c r="E190" s="3">
        <v>100</v>
      </c>
      <c r="F190">
        <v>84</v>
      </c>
      <c r="G190">
        <v>2019</v>
      </c>
      <c r="H190">
        <v>35</v>
      </c>
      <c r="I190" s="4">
        <f t="shared" si="16"/>
        <v>0.90476190476190477</v>
      </c>
      <c r="J190" s="3">
        <f t="shared" si="17"/>
        <v>0.84</v>
      </c>
      <c r="K190" s="4">
        <f t="shared" si="18"/>
        <v>0.98266468548786523</v>
      </c>
      <c r="L190" s="4">
        <f t="shared" si="19"/>
        <v>0.74682516097077756</v>
      </c>
    </row>
    <row r="191" spans="1:12" x14ac:dyDescent="0.3">
      <c r="A191" s="2">
        <v>45478</v>
      </c>
      <c r="B191" s="3">
        <v>24</v>
      </c>
      <c r="C191" s="3">
        <v>1</v>
      </c>
      <c r="D191" s="3">
        <v>2</v>
      </c>
      <c r="E191" s="3">
        <v>100</v>
      </c>
      <c r="F191">
        <v>97</v>
      </c>
      <c r="G191">
        <v>1706</v>
      </c>
      <c r="H191">
        <v>29</v>
      </c>
      <c r="I191" s="4">
        <f t="shared" si="16"/>
        <v>0.91304347826086951</v>
      </c>
      <c r="J191" s="3">
        <f t="shared" si="17"/>
        <v>0.97</v>
      </c>
      <c r="K191" s="4">
        <f t="shared" si="18"/>
        <v>0.9830011723329426</v>
      </c>
      <c r="L191" s="4">
        <f t="shared" si="19"/>
        <v>0.87059712523574084</v>
      </c>
    </row>
    <row r="192" spans="1:12" x14ac:dyDescent="0.3">
      <c r="A192" s="2">
        <v>45479</v>
      </c>
      <c r="B192" s="3">
        <v>24</v>
      </c>
      <c r="C192" s="3">
        <v>1</v>
      </c>
      <c r="D192" s="3">
        <v>2</v>
      </c>
      <c r="E192" s="3">
        <v>100</v>
      </c>
      <c r="F192">
        <v>87</v>
      </c>
      <c r="G192">
        <v>2200</v>
      </c>
      <c r="H192">
        <v>37</v>
      </c>
      <c r="I192" s="4">
        <f t="shared" si="16"/>
        <v>0.91304347826086951</v>
      </c>
      <c r="J192" s="3">
        <f t="shared" si="17"/>
        <v>0.87</v>
      </c>
      <c r="K192" s="4">
        <f t="shared" si="18"/>
        <v>0.98318181818181816</v>
      </c>
      <c r="L192" s="4">
        <f t="shared" si="19"/>
        <v>0.78098833992094852</v>
      </c>
    </row>
    <row r="193" spans="1:12" x14ac:dyDescent="0.3">
      <c r="A193" s="2">
        <v>45480</v>
      </c>
      <c r="B193" s="3">
        <v>24</v>
      </c>
      <c r="C193" s="3">
        <v>2</v>
      </c>
      <c r="D193" s="3">
        <v>3</v>
      </c>
      <c r="E193" s="3">
        <v>100</v>
      </c>
      <c r="F193">
        <v>88</v>
      </c>
      <c r="G193">
        <v>1792</v>
      </c>
      <c r="H193">
        <v>40</v>
      </c>
      <c r="I193" s="4">
        <f t="shared" si="16"/>
        <v>0.86363636363636365</v>
      </c>
      <c r="J193" s="3">
        <f t="shared" si="17"/>
        <v>0.88</v>
      </c>
      <c r="K193" s="4">
        <f t="shared" si="18"/>
        <v>0.9776785714285714</v>
      </c>
      <c r="L193" s="4">
        <f t="shared" si="19"/>
        <v>0.74303571428571424</v>
      </c>
    </row>
    <row r="194" spans="1:12" x14ac:dyDescent="0.3">
      <c r="A194" s="2">
        <v>45481</v>
      </c>
      <c r="B194" s="3">
        <v>24</v>
      </c>
      <c r="C194" s="3">
        <v>2</v>
      </c>
      <c r="D194" s="3">
        <v>1</v>
      </c>
      <c r="E194" s="3">
        <v>100</v>
      </c>
      <c r="F194">
        <v>90</v>
      </c>
      <c r="G194">
        <v>2127</v>
      </c>
      <c r="H194">
        <v>56</v>
      </c>
      <c r="I194" s="4">
        <f t="shared" si="16"/>
        <v>0.95454545454545459</v>
      </c>
      <c r="J194" s="3">
        <f t="shared" si="17"/>
        <v>0.9</v>
      </c>
      <c r="K194" s="4">
        <f t="shared" si="18"/>
        <v>0.9736718382698637</v>
      </c>
      <c r="L194" s="4">
        <f t="shared" si="19"/>
        <v>0.8364726246954739</v>
      </c>
    </row>
    <row r="195" spans="1:12" x14ac:dyDescent="0.3">
      <c r="A195" s="2">
        <v>45482</v>
      </c>
      <c r="B195" s="3">
        <v>24</v>
      </c>
      <c r="C195" s="3">
        <v>3</v>
      </c>
      <c r="D195" s="3">
        <v>2</v>
      </c>
      <c r="E195" s="3">
        <v>100</v>
      </c>
      <c r="F195">
        <v>85</v>
      </c>
      <c r="G195">
        <v>2174</v>
      </c>
      <c r="H195">
        <v>45</v>
      </c>
      <c r="I195" s="4">
        <f t="shared" si="16"/>
        <v>0.90476190476190477</v>
      </c>
      <c r="J195" s="3">
        <f t="shared" si="17"/>
        <v>0.85</v>
      </c>
      <c r="K195" s="4">
        <f t="shared" si="18"/>
        <v>0.97930082796688134</v>
      </c>
      <c r="L195" s="4">
        <f t="shared" si="19"/>
        <v>0.75312897007929203</v>
      </c>
    </row>
    <row r="196" spans="1:12" x14ac:dyDescent="0.3">
      <c r="A196" s="2">
        <v>45483</v>
      </c>
      <c r="B196" s="3">
        <v>24</v>
      </c>
      <c r="C196" s="3">
        <v>3</v>
      </c>
      <c r="D196" s="3">
        <v>2</v>
      </c>
      <c r="E196" s="3">
        <v>100</v>
      </c>
      <c r="F196">
        <v>97</v>
      </c>
      <c r="G196">
        <v>2053</v>
      </c>
      <c r="H196">
        <v>44</v>
      </c>
      <c r="I196" s="4">
        <f t="shared" si="16"/>
        <v>0.90476190476190477</v>
      </c>
      <c r="J196" s="3">
        <f t="shared" si="17"/>
        <v>0.97</v>
      </c>
      <c r="K196" s="4">
        <f t="shared" si="18"/>
        <v>0.97856794934242575</v>
      </c>
      <c r="L196" s="4">
        <f t="shared" si="19"/>
        <v>0.85880987173242418</v>
      </c>
    </row>
    <row r="197" spans="1:12" x14ac:dyDescent="0.3">
      <c r="A197" s="2">
        <v>45484</v>
      </c>
      <c r="B197" s="3">
        <v>24</v>
      </c>
      <c r="C197" s="3">
        <v>2</v>
      </c>
      <c r="D197" s="3">
        <v>3</v>
      </c>
      <c r="E197" s="3">
        <v>100</v>
      </c>
      <c r="F197">
        <v>95</v>
      </c>
      <c r="G197">
        <v>1822</v>
      </c>
      <c r="H197">
        <v>58</v>
      </c>
      <c r="I197" s="4">
        <f t="shared" si="16"/>
        <v>0.86363636363636365</v>
      </c>
      <c r="J197" s="3">
        <f t="shared" si="17"/>
        <v>0.95</v>
      </c>
      <c r="K197" s="4">
        <f t="shared" si="18"/>
        <v>0.96816684961580679</v>
      </c>
      <c r="L197" s="4">
        <f t="shared" si="19"/>
        <v>0.79433689252569606</v>
      </c>
    </row>
    <row r="198" spans="1:12" x14ac:dyDescent="0.3">
      <c r="A198" s="2">
        <v>45485</v>
      </c>
      <c r="B198" s="3">
        <v>24</v>
      </c>
      <c r="C198" s="3">
        <v>2</v>
      </c>
      <c r="D198" s="3">
        <v>3</v>
      </c>
      <c r="E198" s="3">
        <v>100</v>
      </c>
      <c r="F198">
        <v>91</v>
      </c>
      <c r="G198">
        <v>2153</v>
      </c>
      <c r="H198">
        <v>21</v>
      </c>
      <c r="I198" s="4">
        <f t="shared" si="16"/>
        <v>0.86363636363636365</v>
      </c>
      <c r="J198" s="3">
        <f t="shared" si="17"/>
        <v>0.91</v>
      </c>
      <c r="K198" s="4">
        <f t="shared" si="18"/>
        <v>0.99024616813748256</v>
      </c>
      <c r="L198" s="4">
        <f t="shared" si="19"/>
        <v>0.77824346577713965</v>
      </c>
    </row>
    <row r="199" spans="1:12" x14ac:dyDescent="0.3">
      <c r="A199" s="2">
        <v>45486</v>
      </c>
      <c r="B199" s="3">
        <v>24</v>
      </c>
      <c r="C199" s="3">
        <v>3</v>
      </c>
      <c r="D199" s="3">
        <v>1</v>
      </c>
      <c r="E199" s="3">
        <v>100</v>
      </c>
      <c r="F199">
        <v>80</v>
      </c>
      <c r="G199">
        <v>2094</v>
      </c>
      <c r="H199">
        <v>25</v>
      </c>
      <c r="I199" s="4">
        <f t="shared" si="16"/>
        <v>0.95238095238095233</v>
      </c>
      <c r="J199" s="3">
        <f t="shared" si="17"/>
        <v>0.8</v>
      </c>
      <c r="K199" s="4">
        <f t="shared" si="18"/>
        <v>0.98806112702960835</v>
      </c>
      <c r="L199" s="4">
        <f t="shared" si="19"/>
        <v>0.75280847773684445</v>
      </c>
    </row>
    <row r="200" spans="1:12" x14ac:dyDescent="0.3">
      <c r="A200" s="2">
        <v>45487</v>
      </c>
      <c r="B200" s="3">
        <v>24</v>
      </c>
      <c r="C200" s="3">
        <v>1</v>
      </c>
      <c r="D200" s="3">
        <v>3</v>
      </c>
      <c r="E200" s="3">
        <v>100</v>
      </c>
      <c r="F200">
        <v>91</v>
      </c>
      <c r="G200">
        <v>2177</v>
      </c>
      <c r="H200">
        <v>34</v>
      </c>
      <c r="I200" s="4">
        <f t="shared" si="16"/>
        <v>0.86956521739130432</v>
      </c>
      <c r="J200" s="3">
        <f t="shared" si="17"/>
        <v>0.91</v>
      </c>
      <c r="K200" s="4">
        <f t="shared" si="18"/>
        <v>0.98438217730822231</v>
      </c>
      <c r="L200" s="4">
        <f t="shared" si="19"/>
        <v>0.77894589682650628</v>
      </c>
    </row>
    <row r="201" spans="1:12" x14ac:dyDescent="0.3">
      <c r="A201" s="2">
        <v>45488</v>
      </c>
      <c r="B201" s="3">
        <v>24</v>
      </c>
      <c r="C201" s="3">
        <v>2</v>
      </c>
      <c r="D201" s="3">
        <v>1</v>
      </c>
      <c r="E201" s="3">
        <v>100</v>
      </c>
      <c r="F201">
        <v>94</v>
      </c>
      <c r="G201">
        <v>1740</v>
      </c>
      <c r="H201">
        <v>50</v>
      </c>
      <c r="I201" s="4">
        <f t="shared" si="16"/>
        <v>0.95454545454545459</v>
      </c>
      <c r="J201" s="3">
        <f t="shared" si="17"/>
        <v>0.94</v>
      </c>
      <c r="K201" s="4">
        <f t="shared" si="18"/>
        <v>0.97126436781609193</v>
      </c>
      <c r="L201" s="4">
        <f t="shared" si="19"/>
        <v>0.87148902821316609</v>
      </c>
    </row>
    <row r="202" spans="1:12" x14ac:dyDescent="0.3">
      <c r="A202" s="2">
        <v>45489</v>
      </c>
      <c r="B202" s="3">
        <v>24</v>
      </c>
      <c r="C202" s="3">
        <v>2</v>
      </c>
      <c r="D202" s="3">
        <v>2</v>
      </c>
      <c r="E202" s="3">
        <v>100</v>
      </c>
      <c r="F202">
        <v>83</v>
      </c>
      <c r="G202">
        <v>1980</v>
      </c>
      <c r="H202">
        <v>21</v>
      </c>
      <c r="I202" s="4">
        <f t="shared" si="16"/>
        <v>0.90909090909090906</v>
      </c>
      <c r="J202" s="3">
        <f t="shared" si="17"/>
        <v>0.83</v>
      </c>
      <c r="K202" s="4">
        <f t="shared" si="18"/>
        <v>0.98939393939393938</v>
      </c>
      <c r="L202" s="4">
        <f t="shared" si="19"/>
        <v>0.74654269972451792</v>
      </c>
    </row>
    <row r="203" spans="1:12" x14ac:dyDescent="0.3">
      <c r="A203" s="2">
        <v>45490</v>
      </c>
      <c r="B203" s="3">
        <v>24</v>
      </c>
      <c r="C203" s="3">
        <v>2</v>
      </c>
      <c r="D203" s="3">
        <v>1</v>
      </c>
      <c r="E203" s="3">
        <v>100</v>
      </c>
      <c r="F203">
        <v>80</v>
      </c>
      <c r="G203">
        <v>1870</v>
      </c>
      <c r="H203">
        <v>56</v>
      </c>
      <c r="I203" s="4">
        <f t="shared" si="16"/>
        <v>0.95454545454545459</v>
      </c>
      <c r="J203" s="3">
        <f t="shared" si="17"/>
        <v>0.8</v>
      </c>
      <c r="K203" s="4">
        <f t="shared" si="18"/>
        <v>0.97005347593582891</v>
      </c>
      <c r="L203" s="4">
        <f t="shared" si="19"/>
        <v>0.74076810889645117</v>
      </c>
    </row>
    <row r="204" spans="1:12" x14ac:dyDescent="0.3">
      <c r="A204" s="2">
        <v>45491</v>
      </c>
      <c r="B204" s="3">
        <v>24</v>
      </c>
      <c r="C204" s="3">
        <v>3</v>
      </c>
      <c r="D204" s="3">
        <v>3</v>
      </c>
      <c r="E204" s="3">
        <v>100</v>
      </c>
      <c r="F204">
        <v>89</v>
      </c>
      <c r="G204">
        <v>1752</v>
      </c>
      <c r="H204">
        <v>56</v>
      </c>
      <c r="I204" s="4">
        <f t="shared" si="16"/>
        <v>0.8571428571428571</v>
      </c>
      <c r="J204" s="3">
        <f t="shared" si="17"/>
        <v>0.89</v>
      </c>
      <c r="K204" s="4">
        <f t="shared" si="18"/>
        <v>0.96803652968036524</v>
      </c>
      <c r="L204" s="4">
        <f t="shared" si="19"/>
        <v>0.73847358121330708</v>
      </c>
    </row>
    <row r="205" spans="1:12" x14ac:dyDescent="0.3">
      <c r="A205" s="2">
        <v>45492</v>
      </c>
      <c r="B205" s="3">
        <v>24</v>
      </c>
      <c r="C205" s="3">
        <v>1</v>
      </c>
      <c r="D205" s="3">
        <v>3</v>
      </c>
      <c r="E205" s="3">
        <v>100</v>
      </c>
      <c r="F205">
        <v>90</v>
      </c>
      <c r="G205">
        <v>2158</v>
      </c>
      <c r="H205">
        <v>51</v>
      </c>
      <c r="I205" s="4">
        <f t="shared" si="16"/>
        <v>0.86956521739130432</v>
      </c>
      <c r="J205" s="3">
        <f t="shared" si="17"/>
        <v>0.9</v>
      </c>
      <c r="K205" s="4">
        <f t="shared" si="18"/>
        <v>0.97636700648748842</v>
      </c>
      <c r="L205" s="4">
        <f t="shared" si="19"/>
        <v>0.76411330942499101</v>
      </c>
    </row>
    <row r="206" spans="1:12" x14ac:dyDescent="0.3">
      <c r="A206" s="2">
        <v>45493</v>
      </c>
      <c r="B206" s="3">
        <v>24</v>
      </c>
      <c r="C206" s="3">
        <v>1</v>
      </c>
      <c r="D206" s="3">
        <v>2</v>
      </c>
      <c r="E206" s="3">
        <v>100</v>
      </c>
      <c r="F206">
        <v>99</v>
      </c>
      <c r="G206">
        <v>2057</v>
      </c>
      <c r="H206">
        <v>38</v>
      </c>
      <c r="I206" s="4">
        <f t="shared" si="16"/>
        <v>0.91304347826086951</v>
      </c>
      <c r="J206" s="3">
        <f t="shared" si="17"/>
        <v>0.99</v>
      </c>
      <c r="K206" s="4">
        <f t="shared" si="18"/>
        <v>0.98152649489547883</v>
      </c>
      <c r="L206" s="4">
        <f t="shared" si="19"/>
        <v>0.88721460125552187</v>
      </c>
    </row>
    <row r="207" spans="1:12" x14ac:dyDescent="0.3">
      <c r="A207" s="2">
        <v>45494</v>
      </c>
      <c r="B207" s="3">
        <v>24</v>
      </c>
      <c r="C207" s="3">
        <v>3</v>
      </c>
      <c r="D207" s="3">
        <v>1</v>
      </c>
      <c r="E207" s="3">
        <v>100</v>
      </c>
      <c r="F207">
        <v>89</v>
      </c>
      <c r="G207">
        <v>2004</v>
      </c>
      <c r="H207">
        <v>56</v>
      </c>
      <c r="I207" s="4">
        <f t="shared" ref="I207:I270" si="20">(B207-C207-D207)/(B207-C207)</f>
        <v>0.95238095238095233</v>
      </c>
      <c r="J207" s="3">
        <f t="shared" ref="J207:J270" si="21">F207/E207</f>
        <v>0.89</v>
      </c>
      <c r="K207" s="4">
        <f t="shared" ref="K207:K270" si="22">(G207-H207)/G207</f>
        <v>0.97205588822355293</v>
      </c>
      <c r="L207" s="4">
        <f t="shared" ref="L207:L270" si="23">I207*J207*K207</f>
        <v>0.82393308620853534</v>
      </c>
    </row>
    <row r="208" spans="1:12" x14ac:dyDescent="0.3">
      <c r="A208" s="2">
        <v>45495</v>
      </c>
      <c r="B208" s="3">
        <v>24</v>
      </c>
      <c r="C208" s="3">
        <v>3</v>
      </c>
      <c r="D208" s="3">
        <v>1</v>
      </c>
      <c r="E208" s="3">
        <v>100</v>
      </c>
      <c r="F208">
        <v>81</v>
      </c>
      <c r="G208">
        <v>2078</v>
      </c>
      <c r="H208">
        <v>29</v>
      </c>
      <c r="I208" s="4">
        <f t="shared" si="20"/>
        <v>0.95238095238095233</v>
      </c>
      <c r="J208" s="3">
        <f t="shared" si="21"/>
        <v>0.81</v>
      </c>
      <c r="K208" s="4">
        <f t="shared" si="22"/>
        <v>0.98604427333974976</v>
      </c>
      <c r="L208" s="4">
        <f t="shared" si="23"/>
        <v>0.76066272514780697</v>
      </c>
    </row>
    <row r="209" spans="1:12" x14ac:dyDescent="0.3">
      <c r="A209" s="2">
        <v>45496</v>
      </c>
      <c r="B209" s="3">
        <v>24</v>
      </c>
      <c r="C209" s="3">
        <v>2</v>
      </c>
      <c r="D209" s="3">
        <v>2</v>
      </c>
      <c r="E209" s="3">
        <v>100</v>
      </c>
      <c r="F209">
        <v>85</v>
      </c>
      <c r="G209">
        <v>1972</v>
      </c>
      <c r="H209">
        <v>20</v>
      </c>
      <c r="I209" s="4">
        <f t="shared" si="20"/>
        <v>0.90909090909090906</v>
      </c>
      <c r="J209" s="3">
        <f t="shared" si="21"/>
        <v>0.85</v>
      </c>
      <c r="K209" s="4">
        <f t="shared" si="22"/>
        <v>0.98985801217038538</v>
      </c>
      <c r="L209" s="4">
        <f t="shared" si="23"/>
        <v>0.76489028213166144</v>
      </c>
    </row>
    <row r="210" spans="1:12" x14ac:dyDescent="0.3">
      <c r="A210" s="2">
        <v>45497</v>
      </c>
      <c r="B210" s="3">
        <v>24</v>
      </c>
      <c r="C210" s="3">
        <v>2</v>
      </c>
      <c r="D210" s="3">
        <v>3</v>
      </c>
      <c r="E210" s="3">
        <v>100</v>
      </c>
      <c r="F210">
        <v>81</v>
      </c>
      <c r="G210">
        <v>2078</v>
      </c>
      <c r="H210">
        <v>25</v>
      </c>
      <c r="I210" s="4">
        <f t="shared" si="20"/>
        <v>0.86363636363636365</v>
      </c>
      <c r="J210" s="3">
        <f t="shared" si="21"/>
        <v>0.81</v>
      </c>
      <c r="K210" s="4">
        <f t="shared" si="22"/>
        <v>0.98796920115495668</v>
      </c>
      <c r="L210" s="4">
        <f t="shared" si="23"/>
        <v>0.69112936389885382</v>
      </c>
    </row>
    <row r="211" spans="1:12" x14ac:dyDescent="0.3">
      <c r="A211" s="2">
        <v>45498</v>
      </c>
      <c r="B211" s="3">
        <v>24</v>
      </c>
      <c r="C211" s="3">
        <v>1</v>
      </c>
      <c r="D211" s="3">
        <v>1</v>
      </c>
      <c r="E211" s="3">
        <v>100</v>
      </c>
      <c r="F211">
        <v>95</v>
      </c>
      <c r="G211">
        <v>1897</v>
      </c>
      <c r="H211">
        <v>34</v>
      </c>
      <c r="I211" s="4">
        <f t="shared" si="20"/>
        <v>0.95652173913043481</v>
      </c>
      <c r="J211" s="3">
        <f t="shared" si="21"/>
        <v>0.95</v>
      </c>
      <c r="K211" s="4">
        <f t="shared" si="22"/>
        <v>0.9820769636267791</v>
      </c>
      <c r="L211" s="4">
        <f t="shared" si="23"/>
        <v>0.8924090669478123</v>
      </c>
    </row>
    <row r="212" spans="1:12" x14ac:dyDescent="0.3">
      <c r="A212" s="2">
        <v>45499</v>
      </c>
      <c r="B212" s="3">
        <v>24</v>
      </c>
      <c r="C212" s="3">
        <v>2</v>
      </c>
      <c r="D212" s="3">
        <v>3</v>
      </c>
      <c r="E212" s="3">
        <v>100</v>
      </c>
      <c r="F212">
        <v>94</v>
      </c>
      <c r="G212">
        <v>2075</v>
      </c>
      <c r="H212">
        <v>29</v>
      </c>
      <c r="I212" s="4">
        <f t="shared" si="20"/>
        <v>0.86363636363636365</v>
      </c>
      <c r="J212" s="3">
        <f t="shared" si="21"/>
        <v>0.94</v>
      </c>
      <c r="K212" s="4">
        <f t="shared" si="22"/>
        <v>0.98602409638554211</v>
      </c>
      <c r="L212" s="4">
        <f t="shared" si="23"/>
        <v>0.80047228915662638</v>
      </c>
    </row>
    <row r="213" spans="1:12" x14ac:dyDescent="0.3">
      <c r="A213" s="2">
        <v>45500</v>
      </c>
      <c r="B213" s="3">
        <v>24</v>
      </c>
      <c r="C213" s="3">
        <v>3</v>
      </c>
      <c r="D213" s="3">
        <v>1</v>
      </c>
      <c r="E213" s="3">
        <v>100</v>
      </c>
      <c r="F213">
        <v>82</v>
      </c>
      <c r="G213">
        <v>2043</v>
      </c>
      <c r="H213">
        <v>55</v>
      </c>
      <c r="I213" s="4">
        <f t="shared" si="20"/>
        <v>0.95238095238095233</v>
      </c>
      <c r="J213" s="3">
        <f t="shared" si="21"/>
        <v>0.82</v>
      </c>
      <c r="K213" s="4">
        <f t="shared" si="22"/>
        <v>0.9730788056779246</v>
      </c>
      <c r="L213" s="4">
        <f t="shared" si="23"/>
        <v>0.75992821014847434</v>
      </c>
    </row>
    <row r="214" spans="1:12" x14ac:dyDescent="0.3">
      <c r="A214" s="2">
        <v>45501</v>
      </c>
      <c r="B214" s="3">
        <v>24</v>
      </c>
      <c r="C214" s="3">
        <v>2</v>
      </c>
      <c r="D214" s="3">
        <v>3</v>
      </c>
      <c r="E214" s="3">
        <v>100</v>
      </c>
      <c r="F214">
        <v>84</v>
      </c>
      <c r="G214">
        <v>2004</v>
      </c>
      <c r="H214">
        <v>60</v>
      </c>
      <c r="I214" s="4">
        <f t="shared" si="20"/>
        <v>0.86363636363636365</v>
      </c>
      <c r="J214" s="3">
        <f t="shared" si="21"/>
        <v>0.84</v>
      </c>
      <c r="K214" s="4">
        <f t="shared" si="22"/>
        <v>0.97005988023952094</v>
      </c>
      <c r="L214" s="4">
        <f t="shared" si="23"/>
        <v>0.70373434948285252</v>
      </c>
    </row>
    <row r="215" spans="1:12" x14ac:dyDescent="0.3">
      <c r="A215" s="2">
        <v>45502</v>
      </c>
      <c r="B215" s="3">
        <v>24</v>
      </c>
      <c r="C215" s="3">
        <v>3</v>
      </c>
      <c r="D215" s="3">
        <v>2</v>
      </c>
      <c r="E215" s="3">
        <v>100</v>
      </c>
      <c r="F215">
        <v>85</v>
      </c>
      <c r="G215">
        <v>1811</v>
      </c>
      <c r="H215">
        <v>42</v>
      </c>
      <c r="I215" s="4">
        <f t="shared" si="20"/>
        <v>0.90476190476190477</v>
      </c>
      <c r="J215" s="3">
        <f t="shared" si="21"/>
        <v>0.85</v>
      </c>
      <c r="K215" s="4">
        <f t="shared" si="22"/>
        <v>0.9768083931529542</v>
      </c>
      <c r="L215" s="4">
        <f t="shared" si="23"/>
        <v>0.75121216902000998</v>
      </c>
    </row>
    <row r="216" spans="1:12" x14ac:dyDescent="0.3">
      <c r="A216" s="2">
        <v>45503</v>
      </c>
      <c r="B216" s="3">
        <v>24</v>
      </c>
      <c r="C216" s="3">
        <v>3</v>
      </c>
      <c r="D216" s="3">
        <v>3</v>
      </c>
      <c r="E216" s="3">
        <v>100</v>
      </c>
      <c r="F216">
        <v>90</v>
      </c>
      <c r="G216">
        <v>1846</v>
      </c>
      <c r="H216">
        <v>38</v>
      </c>
      <c r="I216" s="4">
        <f t="shared" si="20"/>
        <v>0.8571428571428571</v>
      </c>
      <c r="J216" s="3">
        <f t="shared" si="21"/>
        <v>0.9</v>
      </c>
      <c r="K216" s="4">
        <f t="shared" si="22"/>
        <v>0.97941495124593714</v>
      </c>
      <c r="L216" s="4">
        <f t="shared" si="23"/>
        <v>0.75554867667543713</v>
      </c>
    </row>
    <row r="217" spans="1:12" x14ac:dyDescent="0.3">
      <c r="A217" s="2">
        <v>45504</v>
      </c>
      <c r="B217" s="3">
        <v>24</v>
      </c>
      <c r="C217" s="3">
        <v>2</v>
      </c>
      <c r="D217" s="3">
        <v>3</v>
      </c>
      <c r="E217" s="3">
        <v>100</v>
      </c>
      <c r="F217">
        <v>80</v>
      </c>
      <c r="G217">
        <v>2128</v>
      </c>
      <c r="H217">
        <v>20</v>
      </c>
      <c r="I217" s="4">
        <f t="shared" si="20"/>
        <v>0.86363636363636365</v>
      </c>
      <c r="J217" s="3">
        <f t="shared" si="21"/>
        <v>0.8</v>
      </c>
      <c r="K217" s="4">
        <f t="shared" si="22"/>
        <v>0.99060150375939848</v>
      </c>
      <c r="L217" s="4">
        <f t="shared" si="23"/>
        <v>0.68441558441558437</v>
      </c>
    </row>
    <row r="218" spans="1:12" x14ac:dyDescent="0.3">
      <c r="A218" s="2">
        <v>45505</v>
      </c>
      <c r="B218" s="3">
        <v>24</v>
      </c>
      <c r="C218" s="3">
        <v>3</v>
      </c>
      <c r="D218" s="3">
        <v>1</v>
      </c>
      <c r="E218" s="3">
        <v>100</v>
      </c>
      <c r="F218">
        <v>96</v>
      </c>
      <c r="G218">
        <v>1711</v>
      </c>
      <c r="H218">
        <v>60</v>
      </c>
      <c r="I218" s="4">
        <f t="shared" si="20"/>
        <v>0.95238095238095233</v>
      </c>
      <c r="J218" s="3">
        <f t="shared" si="21"/>
        <v>0.96</v>
      </c>
      <c r="K218" s="4">
        <f t="shared" si="22"/>
        <v>0.96493278784336645</v>
      </c>
      <c r="L218" s="4">
        <f t="shared" si="23"/>
        <v>0.88222426317107772</v>
      </c>
    </row>
    <row r="219" spans="1:12" x14ac:dyDescent="0.3">
      <c r="A219" s="2">
        <v>45506</v>
      </c>
      <c r="B219" s="3">
        <v>24</v>
      </c>
      <c r="C219" s="3">
        <v>3</v>
      </c>
      <c r="D219" s="3">
        <v>2</v>
      </c>
      <c r="E219" s="3">
        <v>100</v>
      </c>
      <c r="F219">
        <v>90</v>
      </c>
      <c r="G219">
        <v>1878</v>
      </c>
      <c r="H219">
        <v>56</v>
      </c>
      <c r="I219" s="4">
        <f t="shared" si="20"/>
        <v>0.90476190476190477</v>
      </c>
      <c r="J219" s="3">
        <f t="shared" si="21"/>
        <v>0.9</v>
      </c>
      <c r="K219" s="4">
        <f t="shared" si="22"/>
        <v>0.9701810436634718</v>
      </c>
      <c r="L219" s="4">
        <f t="shared" si="23"/>
        <v>0.79000456412596987</v>
      </c>
    </row>
    <row r="220" spans="1:12" x14ac:dyDescent="0.3">
      <c r="A220" s="2">
        <v>45507</v>
      </c>
      <c r="B220" s="3">
        <v>24</v>
      </c>
      <c r="C220" s="3">
        <v>1</v>
      </c>
      <c r="D220" s="3">
        <v>1</v>
      </c>
      <c r="E220" s="3">
        <v>100</v>
      </c>
      <c r="F220">
        <v>83</v>
      </c>
      <c r="G220">
        <v>1822</v>
      </c>
      <c r="H220">
        <v>32</v>
      </c>
      <c r="I220" s="4">
        <f t="shared" si="20"/>
        <v>0.95652173913043481</v>
      </c>
      <c r="J220" s="3">
        <f t="shared" si="21"/>
        <v>0.83</v>
      </c>
      <c r="K220" s="4">
        <f t="shared" si="22"/>
        <v>0.98243688254665207</v>
      </c>
      <c r="L220" s="4">
        <f t="shared" si="23"/>
        <v>0.77996945544790719</v>
      </c>
    </row>
    <row r="221" spans="1:12" x14ac:dyDescent="0.3">
      <c r="A221" s="2">
        <v>45508</v>
      </c>
      <c r="B221" s="3">
        <v>24</v>
      </c>
      <c r="C221" s="3">
        <v>3</v>
      </c>
      <c r="D221" s="3">
        <v>2</v>
      </c>
      <c r="E221" s="3">
        <v>100</v>
      </c>
      <c r="F221">
        <v>95</v>
      </c>
      <c r="G221">
        <v>1929</v>
      </c>
      <c r="H221">
        <v>34</v>
      </c>
      <c r="I221" s="4">
        <f t="shared" si="20"/>
        <v>0.90476190476190477</v>
      </c>
      <c r="J221" s="3">
        <f t="shared" si="21"/>
        <v>0.95</v>
      </c>
      <c r="K221" s="4">
        <f t="shared" si="22"/>
        <v>0.98237428719543807</v>
      </c>
      <c r="L221" s="4">
        <f t="shared" si="23"/>
        <v>0.84437408970845984</v>
      </c>
    </row>
    <row r="222" spans="1:12" x14ac:dyDescent="0.3">
      <c r="A222" s="2">
        <v>45509</v>
      </c>
      <c r="B222" s="3">
        <v>24</v>
      </c>
      <c r="C222" s="3">
        <v>1</v>
      </c>
      <c r="D222" s="3">
        <v>2</v>
      </c>
      <c r="E222" s="3">
        <v>100</v>
      </c>
      <c r="F222">
        <v>84</v>
      </c>
      <c r="G222">
        <v>2229</v>
      </c>
      <c r="H222">
        <v>20</v>
      </c>
      <c r="I222" s="4">
        <f t="shared" si="20"/>
        <v>0.91304347826086951</v>
      </c>
      <c r="J222" s="3">
        <f t="shared" si="21"/>
        <v>0.84</v>
      </c>
      <c r="K222" s="4">
        <f t="shared" si="22"/>
        <v>0.99102736653207713</v>
      </c>
      <c r="L222" s="4">
        <f t="shared" si="23"/>
        <v>0.76007490198373207</v>
      </c>
    </row>
    <row r="223" spans="1:12" x14ac:dyDescent="0.3">
      <c r="A223" s="2">
        <v>45510</v>
      </c>
      <c r="B223" s="3">
        <v>24</v>
      </c>
      <c r="C223" s="3">
        <v>1</v>
      </c>
      <c r="D223" s="3">
        <v>2</v>
      </c>
      <c r="E223" s="3">
        <v>100</v>
      </c>
      <c r="F223">
        <v>93</v>
      </c>
      <c r="G223">
        <v>2107</v>
      </c>
      <c r="H223">
        <v>26</v>
      </c>
      <c r="I223" s="4">
        <f t="shared" si="20"/>
        <v>0.91304347826086951</v>
      </c>
      <c r="J223" s="3">
        <f t="shared" si="21"/>
        <v>0.93</v>
      </c>
      <c r="K223" s="4">
        <f t="shared" si="22"/>
        <v>0.98766018035121028</v>
      </c>
      <c r="L223" s="4">
        <f t="shared" si="23"/>
        <v>0.83865231835909293</v>
      </c>
    </row>
    <row r="224" spans="1:12" x14ac:dyDescent="0.3">
      <c r="A224" s="2">
        <v>45511</v>
      </c>
      <c r="B224" s="3">
        <v>24</v>
      </c>
      <c r="C224" s="3">
        <v>2</v>
      </c>
      <c r="D224" s="3">
        <v>3</v>
      </c>
      <c r="E224" s="3">
        <v>100</v>
      </c>
      <c r="F224">
        <v>91</v>
      </c>
      <c r="G224">
        <v>2289</v>
      </c>
      <c r="H224">
        <v>54</v>
      </c>
      <c r="I224" s="4">
        <f t="shared" si="20"/>
        <v>0.86363636363636365</v>
      </c>
      <c r="J224" s="3">
        <f t="shared" si="21"/>
        <v>0.91</v>
      </c>
      <c r="K224" s="4">
        <f t="shared" si="22"/>
        <v>0.97640891218872872</v>
      </c>
      <c r="L224" s="4">
        <f t="shared" si="23"/>
        <v>0.76736864053377818</v>
      </c>
    </row>
    <row r="225" spans="1:12" x14ac:dyDescent="0.3">
      <c r="A225" s="2">
        <v>45512</v>
      </c>
      <c r="B225" s="3">
        <v>24</v>
      </c>
      <c r="C225" s="3">
        <v>1</v>
      </c>
      <c r="D225" s="3">
        <v>3</v>
      </c>
      <c r="E225" s="3">
        <v>100</v>
      </c>
      <c r="F225">
        <v>97</v>
      </c>
      <c r="G225">
        <v>1790</v>
      </c>
      <c r="H225">
        <v>36</v>
      </c>
      <c r="I225" s="4">
        <f t="shared" si="20"/>
        <v>0.86956521739130432</v>
      </c>
      <c r="J225" s="3">
        <f t="shared" si="21"/>
        <v>0.97</v>
      </c>
      <c r="K225" s="4">
        <f t="shared" si="22"/>
        <v>0.9798882681564246</v>
      </c>
      <c r="L225" s="4">
        <f t="shared" si="23"/>
        <v>0.82651445227107112</v>
      </c>
    </row>
    <row r="226" spans="1:12" x14ac:dyDescent="0.3">
      <c r="A226" s="2">
        <v>45513</v>
      </c>
      <c r="B226" s="3">
        <v>24</v>
      </c>
      <c r="C226" s="3">
        <v>2</v>
      </c>
      <c r="D226" s="3">
        <v>2</v>
      </c>
      <c r="E226" s="3">
        <v>100</v>
      </c>
      <c r="F226">
        <v>94</v>
      </c>
      <c r="G226">
        <v>1898</v>
      </c>
      <c r="H226">
        <v>40</v>
      </c>
      <c r="I226" s="4">
        <f t="shared" si="20"/>
        <v>0.90909090909090906</v>
      </c>
      <c r="J226" s="3">
        <f t="shared" si="21"/>
        <v>0.94</v>
      </c>
      <c r="K226" s="4">
        <f t="shared" si="22"/>
        <v>0.97892518440463649</v>
      </c>
      <c r="L226" s="4">
        <f t="shared" si="23"/>
        <v>0.83653606667305291</v>
      </c>
    </row>
    <row r="227" spans="1:12" x14ac:dyDescent="0.3">
      <c r="A227" s="2">
        <v>45514</v>
      </c>
      <c r="B227" s="3">
        <v>24</v>
      </c>
      <c r="C227" s="3">
        <v>2</v>
      </c>
      <c r="D227" s="3">
        <v>1</v>
      </c>
      <c r="E227" s="3">
        <v>100</v>
      </c>
      <c r="F227">
        <v>96</v>
      </c>
      <c r="G227">
        <v>1932</v>
      </c>
      <c r="H227">
        <v>26</v>
      </c>
      <c r="I227" s="4">
        <f t="shared" si="20"/>
        <v>0.95454545454545459</v>
      </c>
      <c r="J227" s="3">
        <f t="shared" si="21"/>
        <v>0.96</v>
      </c>
      <c r="K227" s="4">
        <f t="shared" si="22"/>
        <v>0.98654244306418215</v>
      </c>
      <c r="L227" s="4">
        <f t="shared" si="23"/>
        <v>0.90403162055335962</v>
      </c>
    </row>
    <row r="228" spans="1:12" x14ac:dyDescent="0.3">
      <c r="A228" s="2">
        <v>45515</v>
      </c>
      <c r="B228" s="3">
        <v>24</v>
      </c>
      <c r="C228" s="3">
        <v>2</v>
      </c>
      <c r="D228" s="3">
        <v>1</v>
      </c>
      <c r="E228" s="3">
        <v>100</v>
      </c>
      <c r="F228">
        <v>82</v>
      </c>
      <c r="G228">
        <v>1711</v>
      </c>
      <c r="H228">
        <v>40</v>
      </c>
      <c r="I228" s="4">
        <f t="shared" si="20"/>
        <v>0.95454545454545459</v>
      </c>
      <c r="J228" s="3">
        <f t="shared" si="21"/>
        <v>0.82</v>
      </c>
      <c r="K228" s="4">
        <f t="shared" si="22"/>
        <v>0.97662185856224426</v>
      </c>
      <c r="L228" s="4">
        <f t="shared" si="23"/>
        <v>0.76442856383826574</v>
      </c>
    </row>
    <row r="229" spans="1:12" x14ac:dyDescent="0.3">
      <c r="A229" s="2">
        <v>45516</v>
      </c>
      <c r="B229" s="3">
        <v>24</v>
      </c>
      <c r="C229" s="3">
        <v>1</v>
      </c>
      <c r="D229" s="3">
        <v>1</v>
      </c>
      <c r="E229" s="3">
        <v>100</v>
      </c>
      <c r="F229">
        <v>100</v>
      </c>
      <c r="G229">
        <v>1829</v>
      </c>
      <c r="H229">
        <v>24</v>
      </c>
      <c r="I229" s="4">
        <f t="shared" si="20"/>
        <v>0.95652173913043481</v>
      </c>
      <c r="J229" s="3">
        <f t="shared" si="21"/>
        <v>1</v>
      </c>
      <c r="K229" s="4">
        <f t="shared" si="22"/>
        <v>0.98687807545106621</v>
      </c>
      <c r="L229" s="4">
        <f t="shared" si="23"/>
        <v>0.94397033304015032</v>
      </c>
    </row>
    <row r="230" spans="1:12" x14ac:dyDescent="0.3">
      <c r="A230" s="2">
        <v>45517</v>
      </c>
      <c r="B230" s="3">
        <v>24</v>
      </c>
      <c r="C230" s="3">
        <v>2</v>
      </c>
      <c r="D230" s="3">
        <v>2</v>
      </c>
      <c r="E230" s="3">
        <v>100</v>
      </c>
      <c r="F230">
        <v>88</v>
      </c>
      <c r="G230">
        <v>2089</v>
      </c>
      <c r="H230">
        <v>35</v>
      </c>
      <c r="I230" s="4">
        <f t="shared" si="20"/>
        <v>0.90909090909090906</v>
      </c>
      <c r="J230" s="3">
        <f t="shared" si="21"/>
        <v>0.88</v>
      </c>
      <c r="K230" s="4">
        <f t="shared" si="22"/>
        <v>0.98324557204404017</v>
      </c>
      <c r="L230" s="4">
        <f t="shared" si="23"/>
        <v>0.78659645763523212</v>
      </c>
    </row>
    <row r="231" spans="1:12" x14ac:dyDescent="0.3">
      <c r="A231" s="2">
        <v>45518</v>
      </c>
      <c r="B231" s="3">
        <v>24</v>
      </c>
      <c r="C231" s="3">
        <v>2</v>
      </c>
      <c r="D231" s="3">
        <v>1</v>
      </c>
      <c r="E231" s="3">
        <v>100</v>
      </c>
      <c r="F231">
        <v>83</v>
      </c>
      <c r="G231">
        <v>2150</v>
      </c>
      <c r="H231">
        <v>52</v>
      </c>
      <c r="I231" s="4">
        <f t="shared" si="20"/>
        <v>0.95454545454545459</v>
      </c>
      <c r="J231" s="3">
        <f t="shared" si="21"/>
        <v>0.83</v>
      </c>
      <c r="K231" s="4">
        <f t="shared" si="22"/>
        <v>0.97581395348837208</v>
      </c>
      <c r="L231" s="4">
        <f t="shared" si="23"/>
        <v>0.7731107822410147</v>
      </c>
    </row>
    <row r="232" spans="1:12" x14ac:dyDescent="0.3">
      <c r="A232" s="2">
        <v>45519</v>
      </c>
      <c r="B232" s="3">
        <v>24</v>
      </c>
      <c r="C232" s="3">
        <v>3</v>
      </c>
      <c r="D232" s="3">
        <v>2</v>
      </c>
      <c r="E232" s="3">
        <v>100</v>
      </c>
      <c r="F232">
        <v>100</v>
      </c>
      <c r="G232">
        <v>2219</v>
      </c>
      <c r="H232">
        <v>20</v>
      </c>
      <c r="I232" s="4">
        <f t="shared" si="20"/>
        <v>0.90476190476190477</v>
      </c>
      <c r="J232" s="3">
        <f t="shared" si="21"/>
        <v>1</v>
      </c>
      <c r="K232" s="4">
        <f t="shared" si="22"/>
        <v>0.99098693105002256</v>
      </c>
      <c r="L232" s="4">
        <f t="shared" si="23"/>
        <v>0.89660722333097276</v>
      </c>
    </row>
    <row r="233" spans="1:12" x14ac:dyDescent="0.3">
      <c r="A233" s="2">
        <v>45520</v>
      </c>
      <c r="B233" s="3">
        <v>24</v>
      </c>
      <c r="C233" s="3">
        <v>1</v>
      </c>
      <c r="D233" s="3">
        <v>1</v>
      </c>
      <c r="E233" s="3">
        <v>100</v>
      </c>
      <c r="F233">
        <v>80</v>
      </c>
      <c r="G233">
        <v>2045</v>
      </c>
      <c r="H233">
        <v>23</v>
      </c>
      <c r="I233" s="4">
        <f t="shared" si="20"/>
        <v>0.95652173913043481</v>
      </c>
      <c r="J233" s="3">
        <f t="shared" si="21"/>
        <v>0.8</v>
      </c>
      <c r="K233" s="4">
        <f t="shared" si="22"/>
        <v>0.98875305623471887</v>
      </c>
      <c r="L233" s="4">
        <f t="shared" si="23"/>
        <v>0.75661103433613275</v>
      </c>
    </row>
    <row r="234" spans="1:12" x14ac:dyDescent="0.3">
      <c r="A234" s="2">
        <v>45521</v>
      </c>
      <c r="B234" s="3">
        <v>24</v>
      </c>
      <c r="C234" s="3">
        <v>2</v>
      </c>
      <c r="D234" s="3">
        <v>1</v>
      </c>
      <c r="E234" s="3">
        <v>100</v>
      </c>
      <c r="F234">
        <v>81</v>
      </c>
      <c r="G234">
        <v>2072</v>
      </c>
      <c r="H234">
        <v>42</v>
      </c>
      <c r="I234" s="4">
        <f t="shared" si="20"/>
        <v>0.95454545454545459</v>
      </c>
      <c r="J234" s="3">
        <f t="shared" si="21"/>
        <v>0.81</v>
      </c>
      <c r="K234" s="4">
        <f t="shared" si="22"/>
        <v>0.97972972972972971</v>
      </c>
      <c r="L234" s="4">
        <f t="shared" si="23"/>
        <v>0.75750921375921387</v>
      </c>
    </row>
    <row r="235" spans="1:12" x14ac:dyDescent="0.3">
      <c r="A235" s="2">
        <v>45522</v>
      </c>
      <c r="B235" s="3">
        <v>24</v>
      </c>
      <c r="C235" s="3">
        <v>3</v>
      </c>
      <c r="D235" s="3">
        <v>1</v>
      </c>
      <c r="E235" s="3">
        <v>100</v>
      </c>
      <c r="F235">
        <v>99</v>
      </c>
      <c r="G235">
        <v>1715</v>
      </c>
      <c r="H235">
        <v>55</v>
      </c>
      <c r="I235" s="4">
        <f t="shared" si="20"/>
        <v>0.95238095238095233</v>
      </c>
      <c r="J235" s="3">
        <f t="shared" si="21"/>
        <v>0.99</v>
      </c>
      <c r="K235" s="4">
        <f t="shared" si="22"/>
        <v>0.96793002915451898</v>
      </c>
      <c r="L235" s="4">
        <f t="shared" si="23"/>
        <v>0.91261974177426075</v>
      </c>
    </row>
    <row r="236" spans="1:12" x14ac:dyDescent="0.3">
      <c r="A236" s="2">
        <v>45523</v>
      </c>
      <c r="B236" s="3">
        <v>24</v>
      </c>
      <c r="C236" s="3">
        <v>2</v>
      </c>
      <c r="D236" s="3">
        <v>1</v>
      </c>
      <c r="E236" s="3">
        <v>100</v>
      </c>
      <c r="F236">
        <v>92</v>
      </c>
      <c r="G236">
        <v>2044</v>
      </c>
      <c r="H236">
        <v>22</v>
      </c>
      <c r="I236" s="4">
        <f t="shared" si="20"/>
        <v>0.95454545454545459</v>
      </c>
      <c r="J236" s="3">
        <f t="shared" si="21"/>
        <v>0.92</v>
      </c>
      <c r="K236" s="4">
        <f t="shared" si="22"/>
        <v>0.98923679060665359</v>
      </c>
      <c r="L236" s="4">
        <f t="shared" si="23"/>
        <v>0.86872976338729768</v>
      </c>
    </row>
    <row r="237" spans="1:12" x14ac:dyDescent="0.3">
      <c r="A237" s="2">
        <v>45524</v>
      </c>
      <c r="B237" s="3">
        <v>24</v>
      </c>
      <c r="C237" s="3">
        <v>3</v>
      </c>
      <c r="D237" s="3">
        <v>3</v>
      </c>
      <c r="E237" s="3">
        <v>100</v>
      </c>
      <c r="F237">
        <v>91</v>
      </c>
      <c r="G237">
        <v>1775</v>
      </c>
      <c r="H237">
        <v>54</v>
      </c>
      <c r="I237" s="4">
        <f t="shared" si="20"/>
        <v>0.8571428571428571</v>
      </c>
      <c r="J237" s="3">
        <f t="shared" si="21"/>
        <v>0.91</v>
      </c>
      <c r="K237" s="4">
        <f t="shared" si="22"/>
        <v>0.96957746478873241</v>
      </c>
      <c r="L237" s="4">
        <f t="shared" si="23"/>
        <v>0.75627042253521126</v>
      </c>
    </row>
    <row r="238" spans="1:12" x14ac:dyDescent="0.3">
      <c r="A238" s="2">
        <v>45525</v>
      </c>
      <c r="B238" s="3">
        <v>24</v>
      </c>
      <c r="C238" s="3">
        <v>1</v>
      </c>
      <c r="D238" s="3">
        <v>3</v>
      </c>
      <c r="E238" s="3">
        <v>100</v>
      </c>
      <c r="F238">
        <v>84</v>
      </c>
      <c r="G238">
        <v>2120</v>
      </c>
      <c r="H238">
        <v>49</v>
      </c>
      <c r="I238" s="4">
        <f t="shared" si="20"/>
        <v>0.86956521739130432</v>
      </c>
      <c r="J238" s="3">
        <f t="shared" si="21"/>
        <v>0.84</v>
      </c>
      <c r="K238" s="4">
        <f t="shared" si="22"/>
        <v>0.97688679245283017</v>
      </c>
      <c r="L238" s="4">
        <f t="shared" si="23"/>
        <v>0.71355209187858903</v>
      </c>
    </row>
    <row r="239" spans="1:12" x14ac:dyDescent="0.3">
      <c r="A239" s="2">
        <v>45526</v>
      </c>
      <c r="B239" s="3">
        <v>24</v>
      </c>
      <c r="C239" s="3">
        <v>3</v>
      </c>
      <c r="D239" s="3">
        <v>3</v>
      </c>
      <c r="E239" s="3">
        <v>100</v>
      </c>
      <c r="F239">
        <v>92</v>
      </c>
      <c r="G239">
        <v>2112</v>
      </c>
      <c r="H239">
        <v>24</v>
      </c>
      <c r="I239" s="4">
        <f t="shared" si="20"/>
        <v>0.8571428571428571</v>
      </c>
      <c r="J239" s="3">
        <f t="shared" si="21"/>
        <v>0.92</v>
      </c>
      <c r="K239" s="4">
        <f t="shared" si="22"/>
        <v>0.98863636363636365</v>
      </c>
      <c r="L239" s="4">
        <f t="shared" si="23"/>
        <v>0.77961038961038964</v>
      </c>
    </row>
    <row r="240" spans="1:12" x14ac:dyDescent="0.3">
      <c r="A240" s="2">
        <v>45527</v>
      </c>
      <c r="B240" s="3">
        <v>24</v>
      </c>
      <c r="C240" s="3">
        <v>3</v>
      </c>
      <c r="D240" s="3">
        <v>1</v>
      </c>
      <c r="E240" s="3">
        <v>100</v>
      </c>
      <c r="F240">
        <v>82</v>
      </c>
      <c r="G240">
        <v>1749</v>
      </c>
      <c r="H240">
        <v>49</v>
      </c>
      <c r="I240" s="4">
        <f t="shared" si="20"/>
        <v>0.95238095238095233</v>
      </c>
      <c r="J240" s="3">
        <f t="shared" si="21"/>
        <v>0.82</v>
      </c>
      <c r="K240" s="4">
        <f t="shared" si="22"/>
        <v>0.97198399085191534</v>
      </c>
      <c r="L240" s="4">
        <f t="shared" si="23"/>
        <v>0.75907321190340049</v>
      </c>
    </row>
    <row r="241" spans="1:12" x14ac:dyDescent="0.3">
      <c r="A241" s="2">
        <v>45528</v>
      </c>
      <c r="B241" s="3">
        <v>24</v>
      </c>
      <c r="C241" s="3">
        <v>2</v>
      </c>
      <c r="D241" s="3">
        <v>1</v>
      </c>
      <c r="E241" s="3">
        <v>100</v>
      </c>
      <c r="F241">
        <v>86</v>
      </c>
      <c r="G241">
        <v>1734</v>
      </c>
      <c r="H241">
        <v>25</v>
      </c>
      <c r="I241" s="4">
        <f t="shared" si="20"/>
        <v>0.95454545454545459</v>
      </c>
      <c r="J241" s="3">
        <f t="shared" si="21"/>
        <v>0.86</v>
      </c>
      <c r="K241" s="4">
        <f t="shared" si="22"/>
        <v>0.98558246828143026</v>
      </c>
      <c r="L241" s="4">
        <f t="shared" si="23"/>
        <v>0.80907360805284689</v>
      </c>
    </row>
    <row r="242" spans="1:12" x14ac:dyDescent="0.3">
      <c r="A242" s="2">
        <v>45529</v>
      </c>
      <c r="B242" s="3">
        <v>24</v>
      </c>
      <c r="C242" s="3">
        <v>2</v>
      </c>
      <c r="D242" s="3">
        <v>2</v>
      </c>
      <c r="E242" s="3">
        <v>100</v>
      </c>
      <c r="F242">
        <v>98</v>
      </c>
      <c r="G242">
        <v>1937</v>
      </c>
      <c r="H242">
        <v>22</v>
      </c>
      <c r="I242" s="4">
        <f t="shared" si="20"/>
        <v>0.90909090909090906</v>
      </c>
      <c r="J242" s="3">
        <f t="shared" si="21"/>
        <v>0.98</v>
      </c>
      <c r="K242" s="4">
        <f t="shared" si="22"/>
        <v>0.98864223025296849</v>
      </c>
      <c r="L242" s="4">
        <f t="shared" si="23"/>
        <v>0.88079035058900823</v>
      </c>
    </row>
    <row r="243" spans="1:12" x14ac:dyDescent="0.3">
      <c r="A243" s="2">
        <v>45530</v>
      </c>
      <c r="B243" s="3">
        <v>24</v>
      </c>
      <c r="C243" s="3">
        <v>3</v>
      </c>
      <c r="D243" s="3">
        <v>1</v>
      </c>
      <c r="E243" s="3">
        <v>100</v>
      </c>
      <c r="F243">
        <v>96</v>
      </c>
      <c r="G243">
        <v>2264</v>
      </c>
      <c r="H243">
        <v>39</v>
      </c>
      <c r="I243" s="4">
        <f t="shared" si="20"/>
        <v>0.95238095238095233</v>
      </c>
      <c r="J243" s="3">
        <f t="shared" si="21"/>
        <v>0.96</v>
      </c>
      <c r="K243" s="4">
        <f t="shared" si="22"/>
        <v>0.982773851590106</v>
      </c>
      <c r="L243" s="4">
        <f t="shared" si="23"/>
        <v>0.89853609288238245</v>
      </c>
    </row>
    <row r="244" spans="1:12" x14ac:dyDescent="0.3">
      <c r="A244" s="2">
        <v>45531</v>
      </c>
      <c r="B244" s="3">
        <v>24</v>
      </c>
      <c r="C244" s="3">
        <v>1</v>
      </c>
      <c r="D244" s="3">
        <v>2</v>
      </c>
      <c r="E244" s="3">
        <v>100</v>
      </c>
      <c r="F244">
        <v>82</v>
      </c>
      <c r="G244">
        <v>1993</v>
      </c>
      <c r="H244">
        <v>46</v>
      </c>
      <c r="I244" s="4">
        <f t="shared" si="20"/>
        <v>0.91304347826086951</v>
      </c>
      <c r="J244" s="3">
        <f t="shared" si="21"/>
        <v>0.82</v>
      </c>
      <c r="K244" s="4">
        <f t="shared" si="22"/>
        <v>0.97691921726041142</v>
      </c>
      <c r="L244" s="4">
        <f t="shared" si="23"/>
        <v>0.7314151704880123</v>
      </c>
    </row>
    <row r="245" spans="1:12" x14ac:dyDescent="0.3">
      <c r="A245" s="2">
        <v>45532</v>
      </c>
      <c r="B245" s="3">
        <v>24</v>
      </c>
      <c r="C245" s="3">
        <v>3</v>
      </c>
      <c r="D245" s="3">
        <v>1</v>
      </c>
      <c r="E245" s="3">
        <v>100</v>
      </c>
      <c r="F245">
        <v>89</v>
      </c>
      <c r="G245">
        <v>2009</v>
      </c>
      <c r="H245">
        <v>23</v>
      </c>
      <c r="I245" s="4">
        <f t="shared" si="20"/>
        <v>0.95238095238095233</v>
      </c>
      <c r="J245" s="3">
        <f t="shared" si="21"/>
        <v>0.89</v>
      </c>
      <c r="K245" s="4">
        <f t="shared" si="22"/>
        <v>0.98855151816824294</v>
      </c>
      <c r="L245" s="4">
        <f t="shared" si="23"/>
        <v>0.83791509635212968</v>
      </c>
    </row>
    <row r="246" spans="1:12" x14ac:dyDescent="0.3">
      <c r="A246" s="2">
        <v>45533</v>
      </c>
      <c r="B246" s="3">
        <v>24</v>
      </c>
      <c r="C246" s="3">
        <v>1</v>
      </c>
      <c r="D246" s="3">
        <v>3</v>
      </c>
      <c r="E246" s="3">
        <v>100</v>
      </c>
      <c r="F246">
        <v>80</v>
      </c>
      <c r="G246">
        <v>1928</v>
      </c>
      <c r="H246">
        <v>24</v>
      </c>
      <c r="I246" s="4">
        <f t="shared" si="20"/>
        <v>0.86956521739130432</v>
      </c>
      <c r="J246" s="3">
        <f t="shared" si="21"/>
        <v>0.8</v>
      </c>
      <c r="K246" s="4">
        <f t="shared" si="22"/>
        <v>0.98755186721991706</v>
      </c>
      <c r="L246" s="4">
        <f t="shared" si="23"/>
        <v>0.68699260328342049</v>
      </c>
    </row>
    <row r="247" spans="1:12" x14ac:dyDescent="0.3">
      <c r="A247" s="2">
        <v>45534</v>
      </c>
      <c r="B247" s="3">
        <v>24</v>
      </c>
      <c r="C247" s="3">
        <v>3</v>
      </c>
      <c r="D247" s="3">
        <v>1</v>
      </c>
      <c r="E247" s="3">
        <v>100</v>
      </c>
      <c r="F247">
        <v>90</v>
      </c>
      <c r="G247">
        <v>2182</v>
      </c>
      <c r="H247">
        <v>58</v>
      </c>
      <c r="I247" s="4">
        <f t="shared" si="20"/>
        <v>0.95238095238095233</v>
      </c>
      <c r="J247" s="3">
        <f t="shared" si="21"/>
        <v>0.9</v>
      </c>
      <c r="K247" s="4">
        <f t="shared" si="22"/>
        <v>0.97341888175985336</v>
      </c>
      <c r="L247" s="4">
        <f t="shared" si="23"/>
        <v>0.83435904150844564</v>
      </c>
    </row>
    <row r="248" spans="1:12" x14ac:dyDescent="0.3">
      <c r="A248" s="2">
        <v>45535</v>
      </c>
      <c r="B248" s="3">
        <v>24</v>
      </c>
      <c r="C248" s="3">
        <v>3</v>
      </c>
      <c r="D248" s="3">
        <v>1</v>
      </c>
      <c r="E248" s="3">
        <v>100</v>
      </c>
      <c r="F248">
        <v>84</v>
      </c>
      <c r="G248">
        <v>2284</v>
      </c>
      <c r="H248">
        <v>51</v>
      </c>
      <c r="I248" s="4">
        <f t="shared" si="20"/>
        <v>0.95238095238095233</v>
      </c>
      <c r="J248" s="3">
        <f t="shared" si="21"/>
        <v>0.84</v>
      </c>
      <c r="K248" s="4">
        <f t="shared" si="22"/>
        <v>0.97767075306479856</v>
      </c>
      <c r="L248" s="4">
        <f t="shared" si="23"/>
        <v>0.7821366024518388</v>
      </c>
    </row>
    <row r="249" spans="1:12" x14ac:dyDescent="0.3">
      <c r="A249" s="2">
        <v>45536</v>
      </c>
      <c r="B249" s="3">
        <v>24</v>
      </c>
      <c r="C249" s="3">
        <v>2</v>
      </c>
      <c r="D249" s="3">
        <v>2</v>
      </c>
      <c r="E249" s="3">
        <v>100</v>
      </c>
      <c r="F249">
        <v>92</v>
      </c>
      <c r="G249">
        <v>1742</v>
      </c>
      <c r="H249">
        <v>39</v>
      </c>
      <c r="I249" s="4">
        <f t="shared" si="20"/>
        <v>0.90909090909090906</v>
      </c>
      <c r="J249" s="3">
        <f t="shared" si="21"/>
        <v>0.92</v>
      </c>
      <c r="K249" s="4">
        <f t="shared" si="22"/>
        <v>0.97761194029850751</v>
      </c>
      <c r="L249" s="4">
        <f t="shared" si="23"/>
        <v>0.81763907734056995</v>
      </c>
    </row>
    <row r="250" spans="1:12" x14ac:dyDescent="0.3">
      <c r="A250" s="2">
        <v>45537</v>
      </c>
      <c r="B250" s="3">
        <v>24</v>
      </c>
      <c r="C250" s="3">
        <v>1</v>
      </c>
      <c r="D250" s="3">
        <v>3</v>
      </c>
      <c r="E250" s="3">
        <v>100</v>
      </c>
      <c r="F250">
        <v>80</v>
      </c>
      <c r="G250">
        <v>1889</v>
      </c>
      <c r="H250">
        <v>55</v>
      </c>
      <c r="I250" s="4">
        <f t="shared" si="20"/>
        <v>0.86956521739130432</v>
      </c>
      <c r="J250" s="3">
        <f t="shared" si="21"/>
        <v>0.8</v>
      </c>
      <c r="K250" s="4">
        <f t="shared" si="22"/>
        <v>0.97088406564319751</v>
      </c>
      <c r="L250" s="4">
        <f t="shared" si="23"/>
        <v>0.67539761088222439</v>
      </c>
    </row>
    <row r="251" spans="1:12" x14ac:dyDescent="0.3">
      <c r="A251" s="2">
        <v>45538</v>
      </c>
      <c r="B251" s="3">
        <v>24</v>
      </c>
      <c r="C251" s="3">
        <v>3</v>
      </c>
      <c r="D251" s="3">
        <v>2</v>
      </c>
      <c r="E251" s="3">
        <v>100</v>
      </c>
      <c r="F251">
        <v>93</v>
      </c>
      <c r="G251">
        <v>2120</v>
      </c>
      <c r="H251">
        <v>36</v>
      </c>
      <c r="I251" s="4">
        <f t="shared" si="20"/>
        <v>0.90476190476190477</v>
      </c>
      <c r="J251" s="3">
        <f t="shared" si="21"/>
        <v>0.93</v>
      </c>
      <c r="K251" s="4">
        <f t="shared" si="22"/>
        <v>0.98301886792452831</v>
      </c>
      <c r="L251" s="4">
        <f t="shared" si="23"/>
        <v>0.82714016172506744</v>
      </c>
    </row>
    <row r="252" spans="1:12" x14ac:dyDescent="0.3">
      <c r="A252" s="2">
        <v>45539</v>
      </c>
      <c r="B252" s="3">
        <v>24</v>
      </c>
      <c r="C252" s="3">
        <v>3</v>
      </c>
      <c r="D252" s="3">
        <v>2</v>
      </c>
      <c r="E252" s="3">
        <v>100</v>
      </c>
      <c r="F252">
        <v>85</v>
      </c>
      <c r="G252">
        <v>1750</v>
      </c>
      <c r="H252">
        <v>52</v>
      </c>
      <c r="I252" s="4">
        <f t="shared" si="20"/>
        <v>0.90476190476190477</v>
      </c>
      <c r="J252" s="3">
        <f t="shared" si="21"/>
        <v>0.85</v>
      </c>
      <c r="K252" s="4">
        <f t="shared" si="22"/>
        <v>0.97028571428571431</v>
      </c>
      <c r="L252" s="4">
        <f t="shared" si="23"/>
        <v>0.74619591836734689</v>
      </c>
    </row>
    <row r="253" spans="1:12" x14ac:dyDescent="0.3">
      <c r="A253" s="2">
        <v>45540</v>
      </c>
      <c r="B253" s="3">
        <v>24</v>
      </c>
      <c r="C253" s="3">
        <v>2</v>
      </c>
      <c r="D253" s="3">
        <v>3</v>
      </c>
      <c r="E253" s="3">
        <v>100</v>
      </c>
      <c r="F253">
        <v>90</v>
      </c>
      <c r="G253">
        <v>2294</v>
      </c>
      <c r="H253">
        <v>22</v>
      </c>
      <c r="I253" s="4">
        <f t="shared" si="20"/>
        <v>0.86363636363636365</v>
      </c>
      <c r="J253" s="3">
        <f t="shared" si="21"/>
        <v>0.9</v>
      </c>
      <c r="K253" s="4">
        <f t="shared" si="22"/>
        <v>0.99040976460331298</v>
      </c>
      <c r="L253" s="4">
        <f t="shared" si="23"/>
        <v>0.76981849885075693</v>
      </c>
    </row>
    <row r="254" spans="1:12" x14ac:dyDescent="0.3">
      <c r="A254" s="2">
        <v>45541</v>
      </c>
      <c r="B254" s="3">
        <v>24</v>
      </c>
      <c r="C254" s="3">
        <v>2</v>
      </c>
      <c r="D254" s="3">
        <v>2</v>
      </c>
      <c r="E254" s="3">
        <v>100</v>
      </c>
      <c r="F254">
        <v>86</v>
      </c>
      <c r="G254">
        <v>1904</v>
      </c>
      <c r="H254">
        <v>27</v>
      </c>
      <c r="I254" s="4">
        <f t="shared" si="20"/>
        <v>0.90909090909090906</v>
      </c>
      <c r="J254" s="3">
        <f t="shared" si="21"/>
        <v>0.86</v>
      </c>
      <c r="K254" s="4">
        <f t="shared" si="22"/>
        <v>0.98581932773109249</v>
      </c>
      <c r="L254" s="4">
        <f t="shared" si="23"/>
        <v>0.77073147440794498</v>
      </c>
    </row>
    <row r="255" spans="1:12" x14ac:dyDescent="0.3">
      <c r="A255" s="2">
        <v>45542</v>
      </c>
      <c r="B255" s="3">
        <v>24</v>
      </c>
      <c r="C255" s="3">
        <v>2</v>
      </c>
      <c r="D255" s="3">
        <v>3</v>
      </c>
      <c r="E255" s="3">
        <v>100</v>
      </c>
      <c r="F255">
        <v>84</v>
      </c>
      <c r="G255">
        <v>1811</v>
      </c>
      <c r="H255">
        <v>31</v>
      </c>
      <c r="I255" s="4">
        <f t="shared" si="20"/>
        <v>0.86363636363636365</v>
      </c>
      <c r="J255" s="3">
        <f t="shared" si="21"/>
        <v>0.84</v>
      </c>
      <c r="K255" s="4">
        <f t="shared" si="22"/>
        <v>0.98288238542241857</v>
      </c>
      <c r="L255" s="4">
        <f t="shared" si="23"/>
        <v>0.71303649415190007</v>
      </c>
    </row>
    <row r="256" spans="1:12" x14ac:dyDescent="0.3">
      <c r="A256" s="2">
        <v>45543</v>
      </c>
      <c r="B256" s="3">
        <v>24</v>
      </c>
      <c r="C256" s="3">
        <v>3</v>
      </c>
      <c r="D256" s="3">
        <v>3</v>
      </c>
      <c r="E256" s="3">
        <v>100</v>
      </c>
      <c r="F256">
        <v>93</v>
      </c>
      <c r="G256">
        <v>1809</v>
      </c>
      <c r="H256">
        <v>60</v>
      </c>
      <c r="I256" s="4">
        <f t="shared" si="20"/>
        <v>0.8571428571428571</v>
      </c>
      <c r="J256" s="3">
        <f t="shared" si="21"/>
        <v>0.93</v>
      </c>
      <c r="K256" s="4">
        <f t="shared" si="22"/>
        <v>0.96683250414593702</v>
      </c>
      <c r="L256" s="4">
        <f t="shared" si="23"/>
        <v>0.77070362473347553</v>
      </c>
    </row>
    <row r="257" spans="1:12" x14ac:dyDescent="0.3">
      <c r="A257" s="2">
        <v>45544</v>
      </c>
      <c r="B257" s="3">
        <v>24</v>
      </c>
      <c r="C257" s="3">
        <v>2</v>
      </c>
      <c r="D257" s="3">
        <v>3</v>
      </c>
      <c r="E257" s="3">
        <v>100</v>
      </c>
      <c r="F257">
        <v>99</v>
      </c>
      <c r="G257">
        <v>1813</v>
      </c>
      <c r="H257">
        <v>42</v>
      </c>
      <c r="I257" s="4">
        <f t="shared" si="20"/>
        <v>0.86363636363636365</v>
      </c>
      <c r="J257" s="3">
        <f t="shared" si="21"/>
        <v>0.99</v>
      </c>
      <c r="K257" s="4">
        <f t="shared" si="22"/>
        <v>0.97683397683397688</v>
      </c>
      <c r="L257" s="4">
        <f t="shared" si="23"/>
        <v>0.83519305019305023</v>
      </c>
    </row>
    <row r="258" spans="1:12" x14ac:dyDescent="0.3">
      <c r="A258" s="2">
        <v>45545</v>
      </c>
      <c r="B258" s="3">
        <v>24</v>
      </c>
      <c r="C258" s="3">
        <v>3</v>
      </c>
      <c r="D258" s="3">
        <v>3</v>
      </c>
      <c r="E258" s="3">
        <v>100</v>
      </c>
      <c r="F258">
        <v>84</v>
      </c>
      <c r="G258">
        <v>1847</v>
      </c>
      <c r="H258">
        <v>23</v>
      </c>
      <c r="I258" s="4">
        <f t="shared" si="20"/>
        <v>0.8571428571428571</v>
      </c>
      <c r="J258" s="3">
        <f t="shared" si="21"/>
        <v>0.84</v>
      </c>
      <c r="K258" s="4">
        <f t="shared" si="22"/>
        <v>0.98754737412019489</v>
      </c>
      <c r="L258" s="4">
        <f t="shared" si="23"/>
        <v>0.71103410936654032</v>
      </c>
    </row>
    <row r="259" spans="1:12" x14ac:dyDescent="0.3">
      <c r="A259" s="2">
        <v>45546</v>
      </c>
      <c r="B259" s="3">
        <v>24</v>
      </c>
      <c r="C259" s="3">
        <v>2</v>
      </c>
      <c r="D259" s="3">
        <v>1</v>
      </c>
      <c r="E259" s="3">
        <v>100</v>
      </c>
      <c r="F259">
        <v>89</v>
      </c>
      <c r="G259">
        <v>1733</v>
      </c>
      <c r="H259">
        <v>31</v>
      </c>
      <c r="I259" s="4">
        <f t="shared" si="20"/>
        <v>0.95454545454545459</v>
      </c>
      <c r="J259" s="3">
        <f t="shared" si="21"/>
        <v>0.89</v>
      </c>
      <c r="K259" s="4">
        <f t="shared" si="22"/>
        <v>0.98211194460473172</v>
      </c>
      <c r="L259" s="4">
        <f t="shared" si="23"/>
        <v>0.83434873839374712</v>
      </c>
    </row>
    <row r="260" spans="1:12" x14ac:dyDescent="0.3">
      <c r="A260" s="2">
        <v>45547</v>
      </c>
      <c r="B260" s="3">
        <v>24</v>
      </c>
      <c r="C260" s="3">
        <v>1</v>
      </c>
      <c r="D260" s="3">
        <v>1</v>
      </c>
      <c r="E260" s="3">
        <v>100</v>
      </c>
      <c r="F260">
        <v>84</v>
      </c>
      <c r="G260">
        <v>2061</v>
      </c>
      <c r="H260">
        <v>28</v>
      </c>
      <c r="I260" s="4">
        <f t="shared" si="20"/>
        <v>0.95652173913043481</v>
      </c>
      <c r="J260" s="3">
        <f t="shared" si="21"/>
        <v>0.84</v>
      </c>
      <c r="K260" s="4">
        <f t="shared" si="22"/>
        <v>0.98641436196021348</v>
      </c>
      <c r="L260" s="4">
        <f t="shared" si="23"/>
        <v>0.79256249604455409</v>
      </c>
    </row>
    <row r="261" spans="1:12" x14ac:dyDescent="0.3">
      <c r="A261" s="2">
        <v>45548</v>
      </c>
      <c r="B261" s="3">
        <v>24</v>
      </c>
      <c r="C261" s="3">
        <v>3</v>
      </c>
      <c r="D261" s="3">
        <v>3</v>
      </c>
      <c r="E261" s="3">
        <v>100</v>
      </c>
      <c r="F261">
        <v>100</v>
      </c>
      <c r="G261">
        <v>1704</v>
      </c>
      <c r="H261">
        <v>22</v>
      </c>
      <c r="I261" s="4">
        <f t="shared" si="20"/>
        <v>0.8571428571428571</v>
      </c>
      <c r="J261" s="3">
        <f t="shared" si="21"/>
        <v>1</v>
      </c>
      <c r="K261" s="4">
        <f t="shared" si="22"/>
        <v>0.98708920187793425</v>
      </c>
      <c r="L261" s="4">
        <f t="shared" si="23"/>
        <v>0.84607645875251503</v>
      </c>
    </row>
    <row r="262" spans="1:12" x14ac:dyDescent="0.3">
      <c r="A262" s="2">
        <v>45549</v>
      </c>
      <c r="B262" s="3">
        <v>24</v>
      </c>
      <c r="C262" s="3">
        <v>1</v>
      </c>
      <c r="D262" s="3">
        <v>3</v>
      </c>
      <c r="E262" s="3">
        <v>100</v>
      </c>
      <c r="F262">
        <v>100</v>
      </c>
      <c r="G262">
        <v>1953</v>
      </c>
      <c r="H262">
        <v>24</v>
      </c>
      <c r="I262" s="4">
        <f t="shared" si="20"/>
        <v>0.86956521739130432</v>
      </c>
      <c r="J262" s="3">
        <f t="shared" si="21"/>
        <v>1</v>
      </c>
      <c r="K262" s="4">
        <f t="shared" si="22"/>
        <v>0.98771121351766511</v>
      </c>
      <c r="L262" s="4">
        <f t="shared" si="23"/>
        <v>0.85887931610231749</v>
      </c>
    </row>
    <row r="263" spans="1:12" x14ac:dyDescent="0.3">
      <c r="A263" s="2">
        <v>45550</v>
      </c>
      <c r="B263" s="3">
        <v>24</v>
      </c>
      <c r="C263" s="3">
        <v>1</v>
      </c>
      <c r="D263" s="3">
        <v>2</v>
      </c>
      <c r="E263" s="3">
        <v>100</v>
      </c>
      <c r="F263">
        <v>93</v>
      </c>
      <c r="G263">
        <v>2051</v>
      </c>
      <c r="H263">
        <v>37</v>
      </c>
      <c r="I263" s="4">
        <f t="shared" si="20"/>
        <v>0.91304347826086951</v>
      </c>
      <c r="J263" s="3">
        <f t="shared" si="21"/>
        <v>0.93</v>
      </c>
      <c r="K263" s="4">
        <f t="shared" si="22"/>
        <v>0.98196001950268164</v>
      </c>
      <c r="L263" s="4">
        <f t="shared" si="23"/>
        <v>0.833812138299451</v>
      </c>
    </row>
    <row r="264" spans="1:12" x14ac:dyDescent="0.3">
      <c r="A264" s="2">
        <v>45551</v>
      </c>
      <c r="B264" s="3">
        <v>24</v>
      </c>
      <c r="C264" s="3">
        <v>1</v>
      </c>
      <c r="D264" s="3">
        <v>3</v>
      </c>
      <c r="E264" s="3">
        <v>100</v>
      </c>
      <c r="F264">
        <v>95</v>
      </c>
      <c r="G264">
        <v>2060</v>
      </c>
      <c r="H264">
        <v>28</v>
      </c>
      <c r="I264" s="4">
        <f t="shared" si="20"/>
        <v>0.86956521739130432</v>
      </c>
      <c r="J264" s="3">
        <f t="shared" si="21"/>
        <v>0.95</v>
      </c>
      <c r="K264" s="4">
        <f t="shared" si="22"/>
        <v>0.98640776699029131</v>
      </c>
      <c r="L264" s="4">
        <f t="shared" si="23"/>
        <v>0.81485859012241446</v>
      </c>
    </row>
    <row r="265" spans="1:12" x14ac:dyDescent="0.3">
      <c r="A265" s="2">
        <v>45552</v>
      </c>
      <c r="B265" s="3">
        <v>24</v>
      </c>
      <c r="C265" s="3">
        <v>3</v>
      </c>
      <c r="D265" s="3">
        <v>2</v>
      </c>
      <c r="E265" s="3">
        <v>100</v>
      </c>
      <c r="F265">
        <v>89</v>
      </c>
      <c r="G265">
        <v>2231</v>
      </c>
      <c r="H265">
        <v>43</v>
      </c>
      <c r="I265" s="4">
        <f t="shared" si="20"/>
        <v>0.90476190476190477</v>
      </c>
      <c r="J265" s="3">
        <f t="shared" si="21"/>
        <v>0.89</v>
      </c>
      <c r="K265" s="4">
        <f t="shared" si="22"/>
        <v>0.9807261317794711</v>
      </c>
      <c r="L265" s="4">
        <f t="shared" si="23"/>
        <v>0.78971804230432652</v>
      </c>
    </row>
    <row r="266" spans="1:12" x14ac:dyDescent="0.3">
      <c r="A266" s="2">
        <v>45553</v>
      </c>
      <c r="B266" s="3">
        <v>24</v>
      </c>
      <c r="C266" s="3">
        <v>3</v>
      </c>
      <c r="D266" s="3">
        <v>2</v>
      </c>
      <c r="E266" s="3">
        <v>100</v>
      </c>
      <c r="F266">
        <v>96</v>
      </c>
      <c r="G266">
        <v>2116</v>
      </c>
      <c r="H266">
        <v>40</v>
      </c>
      <c r="I266" s="4">
        <f t="shared" si="20"/>
        <v>0.90476190476190477</v>
      </c>
      <c r="J266" s="3">
        <f t="shared" si="21"/>
        <v>0.96</v>
      </c>
      <c r="K266" s="4">
        <f t="shared" si="22"/>
        <v>0.98109640831758038</v>
      </c>
      <c r="L266" s="4">
        <f t="shared" si="23"/>
        <v>0.85215230893869842</v>
      </c>
    </row>
    <row r="267" spans="1:12" x14ac:dyDescent="0.3">
      <c r="A267" s="2">
        <v>45554</v>
      </c>
      <c r="B267" s="3">
        <v>24</v>
      </c>
      <c r="C267" s="3">
        <v>3</v>
      </c>
      <c r="D267" s="3">
        <v>2</v>
      </c>
      <c r="E267" s="3">
        <v>100</v>
      </c>
      <c r="F267">
        <v>85</v>
      </c>
      <c r="G267">
        <v>2278</v>
      </c>
      <c r="H267">
        <v>33</v>
      </c>
      <c r="I267" s="4">
        <f t="shared" si="20"/>
        <v>0.90476190476190477</v>
      </c>
      <c r="J267" s="3">
        <f t="shared" si="21"/>
        <v>0.85</v>
      </c>
      <c r="K267" s="4">
        <f t="shared" si="22"/>
        <v>0.98551360842844604</v>
      </c>
      <c r="L267" s="4">
        <f t="shared" si="23"/>
        <v>0.75790689410092393</v>
      </c>
    </row>
    <row r="268" spans="1:12" x14ac:dyDescent="0.3">
      <c r="A268" s="2">
        <v>45555</v>
      </c>
      <c r="B268" s="3">
        <v>24</v>
      </c>
      <c r="C268" s="3">
        <v>1</v>
      </c>
      <c r="D268" s="3">
        <v>2</v>
      </c>
      <c r="E268" s="3">
        <v>100</v>
      </c>
      <c r="F268">
        <v>87</v>
      </c>
      <c r="G268">
        <v>2231</v>
      </c>
      <c r="H268">
        <v>24</v>
      </c>
      <c r="I268" s="4">
        <f t="shared" si="20"/>
        <v>0.91304347826086951</v>
      </c>
      <c r="J268" s="3">
        <f t="shared" si="21"/>
        <v>0.87</v>
      </c>
      <c r="K268" s="4">
        <f t="shared" si="22"/>
        <v>0.98924249215598381</v>
      </c>
      <c r="L268" s="4">
        <f t="shared" si="23"/>
        <v>0.78580262311694882</v>
      </c>
    </row>
    <row r="269" spans="1:12" x14ac:dyDescent="0.3">
      <c r="A269" s="2">
        <v>45556</v>
      </c>
      <c r="B269" s="3">
        <v>24</v>
      </c>
      <c r="C269" s="3">
        <v>2</v>
      </c>
      <c r="D269" s="3">
        <v>1</v>
      </c>
      <c r="E269" s="3">
        <v>100</v>
      </c>
      <c r="F269">
        <v>97</v>
      </c>
      <c r="G269">
        <v>1958</v>
      </c>
      <c r="H269">
        <v>32</v>
      </c>
      <c r="I269" s="4">
        <f t="shared" si="20"/>
        <v>0.95454545454545459</v>
      </c>
      <c r="J269" s="3">
        <f t="shared" si="21"/>
        <v>0.97</v>
      </c>
      <c r="K269" s="4">
        <f t="shared" si="22"/>
        <v>0.98365679264555672</v>
      </c>
      <c r="L269" s="4">
        <f t="shared" si="23"/>
        <v>0.91077676664499951</v>
      </c>
    </row>
    <row r="270" spans="1:12" x14ac:dyDescent="0.3">
      <c r="A270" s="2">
        <v>45557</v>
      </c>
      <c r="B270" s="3">
        <v>24</v>
      </c>
      <c r="C270" s="3">
        <v>1</v>
      </c>
      <c r="D270" s="3">
        <v>3</v>
      </c>
      <c r="E270" s="3">
        <v>100</v>
      </c>
      <c r="F270">
        <v>86</v>
      </c>
      <c r="G270">
        <v>1926</v>
      </c>
      <c r="H270">
        <v>51</v>
      </c>
      <c r="I270" s="4">
        <f t="shared" si="20"/>
        <v>0.86956521739130432</v>
      </c>
      <c r="J270" s="3">
        <f t="shared" si="21"/>
        <v>0.86</v>
      </c>
      <c r="K270" s="4">
        <f t="shared" si="22"/>
        <v>0.97352024922118385</v>
      </c>
      <c r="L270" s="4">
        <f t="shared" si="23"/>
        <v>0.72802383854801578</v>
      </c>
    </row>
    <row r="271" spans="1:12" x14ac:dyDescent="0.3">
      <c r="A271" s="2">
        <v>45558</v>
      </c>
      <c r="B271" s="3">
        <v>24</v>
      </c>
      <c r="C271" s="3">
        <v>3</v>
      </c>
      <c r="D271" s="3">
        <v>1</v>
      </c>
      <c r="E271" s="3">
        <v>100</v>
      </c>
      <c r="F271">
        <v>85</v>
      </c>
      <c r="G271">
        <v>2238</v>
      </c>
      <c r="H271">
        <v>44</v>
      </c>
      <c r="I271" s="4">
        <f t="shared" ref="I271:I334" si="24">(B271-C271-D271)/(B271-C271)</f>
        <v>0.95238095238095233</v>
      </c>
      <c r="J271" s="3">
        <f t="shared" ref="J271:J334" si="25">F271/E271</f>
        <v>0.85</v>
      </c>
      <c r="K271" s="4">
        <f t="shared" ref="K271:K334" si="26">(G271-H271)/G271</f>
        <v>0.98033958891867734</v>
      </c>
      <c r="L271" s="4">
        <f t="shared" ref="L271:L334" si="27">I271*J271*K271</f>
        <v>0.79360823864845298</v>
      </c>
    </row>
    <row r="272" spans="1:12" x14ac:dyDescent="0.3">
      <c r="A272" s="2">
        <v>45559</v>
      </c>
      <c r="B272" s="3">
        <v>24</v>
      </c>
      <c r="C272" s="3">
        <v>2</v>
      </c>
      <c r="D272" s="3">
        <v>3</v>
      </c>
      <c r="E272" s="3">
        <v>100</v>
      </c>
      <c r="F272">
        <v>84</v>
      </c>
      <c r="G272">
        <v>2164</v>
      </c>
      <c r="H272">
        <v>60</v>
      </c>
      <c r="I272" s="4">
        <f t="shared" si="24"/>
        <v>0.86363636363636365</v>
      </c>
      <c r="J272" s="3">
        <f t="shared" si="25"/>
        <v>0.84</v>
      </c>
      <c r="K272" s="4">
        <f t="shared" si="26"/>
        <v>0.97227356746765248</v>
      </c>
      <c r="L272" s="4">
        <f t="shared" si="27"/>
        <v>0.70534027894471518</v>
      </c>
    </row>
    <row r="273" spans="1:12" x14ac:dyDescent="0.3">
      <c r="A273" s="2">
        <v>45560</v>
      </c>
      <c r="B273" s="3">
        <v>24</v>
      </c>
      <c r="C273" s="3">
        <v>3</v>
      </c>
      <c r="D273" s="3">
        <v>2</v>
      </c>
      <c r="E273" s="3">
        <v>100</v>
      </c>
      <c r="F273">
        <v>83</v>
      </c>
      <c r="G273">
        <v>1781</v>
      </c>
      <c r="H273">
        <v>38</v>
      </c>
      <c r="I273" s="4">
        <f t="shared" si="24"/>
        <v>0.90476190476190477</v>
      </c>
      <c r="J273" s="3">
        <f t="shared" si="25"/>
        <v>0.83</v>
      </c>
      <c r="K273" s="4">
        <f t="shared" si="26"/>
        <v>0.97866367209432903</v>
      </c>
      <c r="L273" s="4">
        <f t="shared" si="27"/>
        <v>0.73492981471083663</v>
      </c>
    </row>
    <row r="274" spans="1:12" x14ac:dyDescent="0.3">
      <c r="A274" s="2">
        <v>45561</v>
      </c>
      <c r="B274" s="3">
        <v>24</v>
      </c>
      <c r="C274" s="3">
        <v>2</v>
      </c>
      <c r="D274" s="3">
        <v>1</v>
      </c>
      <c r="E274" s="3">
        <v>100</v>
      </c>
      <c r="F274">
        <v>87</v>
      </c>
      <c r="G274">
        <v>2134</v>
      </c>
      <c r="H274">
        <v>35</v>
      </c>
      <c r="I274" s="4">
        <f t="shared" si="24"/>
        <v>0.95454545454545459</v>
      </c>
      <c r="J274" s="3">
        <f t="shared" si="25"/>
        <v>0.87</v>
      </c>
      <c r="K274" s="4">
        <f t="shared" si="26"/>
        <v>0.98359887535145263</v>
      </c>
      <c r="L274" s="4">
        <f t="shared" si="27"/>
        <v>0.81683415693959271</v>
      </c>
    </row>
    <row r="275" spans="1:12" x14ac:dyDescent="0.3">
      <c r="A275" s="2">
        <v>45562</v>
      </c>
      <c r="B275" s="3">
        <v>24</v>
      </c>
      <c r="C275" s="3">
        <v>3</v>
      </c>
      <c r="D275" s="3">
        <v>2</v>
      </c>
      <c r="E275" s="3">
        <v>100</v>
      </c>
      <c r="F275">
        <v>86</v>
      </c>
      <c r="G275">
        <v>1757</v>
      </c>
      <c r="H275">
        <v>22</v>
      </c>
      <c r="I275" s="4">
        <f t="shared" si="24"/>
        <v>0.90476190476190477</v>
      </c>
      <c r="J275" s="3">
        <f t="shared" si="25"/>
        <v>0.86</v>
      </c>
      <c r="K275" s="4">
        <f t="shared" si="26"/>
        <v>0.98747865680136593</v>
      </c>
      <c r="L275" s="4">
        <f t="shared" si="27"/>
        <v>0.7683524405778247</v>
      </c>
    </row>
    <row r="276" spans="1:12" x14ac:dyDescent="0.3">
      <c r="A276" s="2">
        <v>45563</v>
      </c>
      <c r="B276" s="3">
        <v>24</v>
      </c>
      <c r="C276" s="3">
        <v>1</v>
      </c>
      <c r="D276" s="3">
        <v>1</v>
      </c>
      <c r="E276" s="3">
        <v>100</v>
      </c>
      <c r="F276">
        <v>93</v>
      </c>
      <c r="G276">
        <v>2278</v>
      </c>
      <c r="H276">
        <v>23</v>
      </c>
      <c r="I276" s="4">
        <f t="shared" si="24"/>
        <v>0.95652173913043481</v>
      </c>
      <c r="J276" s="3">
        <f t="shared" si="25"/>
        <v>0.93</v>
      </c>
      <c r="K276" s="4">
        <f t="shared" si="26"/>
        <v>0.98990342405618958</v>
      </c>
      <c r="L276" s="4">
        <f t="shared" si="27"/>
        <v>0.88058365461694088</v>
      </c>
    </row>
    <row r="277" spans="1:12" x14ac:dyDescent="0.3">
      <c r="A277" s="2">
        <v>45564</v>
      </c>
      <c r="B277" s="3">
        <v>24</v>
      </c>
      <c r="C277" s="3">
        <v>2</v>
      </c>
      <c r="D277" s="3">
        <v>3</v>
      </c>
      <c r="E277" s="3">
        <v>100</v>
      </c>
      <c r="F277">
        <v>97</v>
      </c>
      <c r="G277">
        <v>1971</v>
      </c>
      <c r="H277">
        <v>30</v>
      </c>
      <c r="I277" s="4">
        <f t="shared" si="24"/>
        <v>0.86363636363636365</v>
      </c>
      <c r="J277" s="3">
        <f t="shared" si="25"/>
        <v>0.97</v>
      </c>
      <c r="K277" s="4">
        <f t="shared" si="26"/>
        <v>0.984779299847793</v>
      </c>
      <c r="L277" s="4">
        <f t="shared" si="27"/>
        <v>0.82497647709976485</v>
      </c>
    </row>
    <row r="278" spans="1:12" x14ac:dyDescent="0.3">
      <c r="A278" s="2">
        <v>45565</v>
      </c>
      <c r="B278" s="3">
        <v>24</v>
      </c>
      <c r="C278" s="3">
        <v>3</v>
      </c>
      <c r="D278" s="3">
        <v>1</v>
      </c>
      <c r="E278" s="3">
        <v>100</v>
      </c>
      <c r="F278">
        <v>96</v>
      </c>
      <c r="G278">
        <v>2276</v>
      </c>
      <c r="H278">
        <v>60</v>
      </c>
      <c r="I278" s="4">
        <f t="shared" si="24"/>
        <v>0.95238095238095233</v>
      </c>
      <c r="J278" s="3">
        <f t="shared" si="25"/>
        <v>0.96</v>
      </c>
      <c r="K278" s="4">
        <f t="shared" si="26"/>
        <v>0.97363796133567659</v>
      </c>
      <c r="L278" s="4">
        <f t="shared" si="27"/>
        <v>0.89018327893547555</v>
      </c>
    </row>
    <row r="279" spans="1:12" x14ac:dyDescent="0.3">
      <c r="A279" s="2">
        <v>45566</v>
      </c>
      <c r="B279" s="3">
        <v>24</v>
      </c>
      <c r="C279" s="3">
        <v>3</v>
      </c>
      <c r="D279" s="3">
        <v>2</v>
      </c>
      <c r="E279" s="3">
        <v>100</v>
      </c>
      <c r="F279">
        <v>81</v>
      </c>
      <c r="G279">
        <v>1881</v>
      </c>
      <c r="H279">
        <v>24</v>
      </c>
      <c r="I279" s="4">
        <f t="shared" si="24"/>
        <v>0.90476190476190477</v>
      </c>
      <c r="J279" s="3">
        <f t="shared" si="25"/>
        <v>0.81</v>
      </c>
      <c r="K279" s="4">
        <f t="shared" si="26"/>
        <v>0.98724082934609247</v>
      </c>
      <c r="L279" s="4">
        <f t="shared" si="27"/>
        <v>0.72350649350649354</v>
      </c>
    </row>
    <row r="280" spans="1:12" x14ac:dyDescent="0.3">
      <c r="A280" s="2">
        <v>45567</v>
      </c>
      <c r="B280" s="3">
        <v>24</v>
      </c>
      <c r="C280" s="3">
        <v>1</v>
      </c>
      <c r="D280" s="3">
        <v>1</v>
      </c>
      <c r="E280" s="3">
        <v>100</v>
      </c>
      <c r="F280">
        <v>99</v>
      </c>
      <c r="G280">
        <v>1743</v>
      </c>
      <c r="H280">
        <v>56</v>
      </c>
      <c r="I280" s="4">
        <f t="shared" si="24"/>
        <v>0.95652173913043481</v>
      </c>
      <c r="J280" s="3">
        <f t="shared" si="25"/>
        <v>0.99</v>
      </c>
      <c r="K280" s="4">
        <f t="shared" si="26"/>
        <v>0.96787148594377514</v>
      </c>
      <c r="L280" s="4">
        <f t="shared" si="27"/>
        <v>0.91653221581980104</v>
      </c>
    </row>
    <row r="281" spans="1:12" x14ac:dyDescent="0.3">
      <c r="A281" s="2">
        <v>45568</v>
      </c>
      <c r="B281" s="3">
        <v>24</v>
      </c>
      <c r="C281" s="3">
        <v>2</v>
      </c>
      <c r="D281" s="3">
        <v>1</v>
      </c>
      <c r="E281" s="3">
        <v>100</v>
      </c>
      <c r="F281">
        <v>91</v>
      </c>
      <c r="G281">
        <v>1867</v>
      </c>
      <c r="H281">
        <v>44</v>
      </c>
      <c r="I281" s="4">
        <f t="shared" si="24"/>
        <v>0.95454545454545459</v>
      </c>
      <c r="J281" s="3">
        <f t="shared" si="25"/>
        <v>0.91</v>
      </c>
      <c r="K281" s="4">
        <f t="shared" si="26"/>
        <v>0.97643277986073918</v>
      </c>
      <c r="L281" s="4">
        <f t="shared" si="27"/>
        <v>0.84816501923357845</v>
      </c>
    </row>
    <row r="282" spans="1:12" x14ac:dyDescent="0.3">
      <c r="A282" s="2">
        <v>45569</v>
      </c>
      <c r="B282" s="3">
        <v>24</v>
      </c>
      <c r="C282" s="3">
        <v>1</v>
      </c>
      <c r="D282" s="3">
        <v>3</v>
      </c>
      <c r="E282" s="3">
        <v>100</v>
      </c>
      <c r="F282">
        <v>83</v>
      </c>
      <c r="G282">
        <v>2100</v>
      </c>
      <c r="H282">
        <v>40</v>
      </c>
      <c r="I282" s="4">
        <f t="shared" si="24"/>
        <v>0.86956521739130432</v>
      </c>
      <c r="J282" s="3">
        <f t="shared" si="25"/>
        <v>0.83</v>
      </c>
      <c r="K282" s="4">
        <f t="shared" si="26"/>
        <v>0.98095238095238091</v>
      </c>
      <c r="L282" s="4">
        <f t="shared" si="27"/>
        <v>0.70799171842650099</v>
      </c>
    </row>
    <row r="283" spans="1:12" x14ac:dyDescent="0.3">
      <c r="A283" s="2">
        <v>45570</v>
      </c>
      <c r="B283" s="3">
        <v>24</v>
      </c>
      <c r="C283" s="3">
        <v>1</v>
      </c>
      <c r="D283" s="3">
        <v>2</v>
      </c>
      <c r="E283" s="3">
        <v>100</v>
      </c>
      <c r="F283">
        <v>83</v>
      </c>
      <c r="G283">
        <v>1717</v>
      </c>
      <c r="H283">
        <v>54</v>
      </c>
      <c r="I283" s="4">
        <f t="shared" si="24"/>
        <v>0.91304347826086951</v>
      </c>
      <c r="J283" s="3">
        <f t="shared" si="25"/>
        <v>0.83</v>
      </c>
      <c r="K283" s="4">
        <f t="shared" si="26"/>
        <v>0.96854979615608616</v>
      </c>
      <c r="L283" s="4">
        <f t="shared" si="27"/>
        <v>0.73399230204350352</v>
      </c>
    </row>
    <row r="284" spans="1:12" x14ac:dyDescent="0.3">
      <c r="A284" s="2">
        <v>45571</v>
      </c>
      <c r="B284" s="3">
        <v>24</v>
      </c>
      <c r="C284" s="3">
        <v>2</v>
      </c>
      <c r="D284" s="3">
        <v>3</v>
      </c>
      <c r="E284" s="3">
        <v>100</v>
      </c>
      <c r="F284">
        <v>81</v>
      </c>
      <c r="G284">
        <v>2120</v>
      </c>
      <c r="H284">
        <v>24</v>
      </c>
      <c r="I284" s="4">
        <f t="shared" si="24"/>
        <v>0.86363636363636365</v>
      </c>
      <c r="J284" s="3">
        <f t="shared" si="25"/>
        <v>0.81</v>
      </c>
      <c r="K284" s="4">
        <f t="shared" si="26"/>
        <v>0.98867924528301887</v>
      </c>
      <c r="L284" s="4">
        <f t="shared" si="27"/>
        <v>0.69162607204116644</v>
      </c>
    </row>
    <row r="285" spans="1:12" x14ac:dyDescent="0.3">
      <c r="A285" s="2">
        <v>45572</v>
      </c>
      <c r="B285" s="3">
        <v>24</v>
      </c>
      <c r="C285" s="3">
        <v>2</v>
      </c>
      <c r="D285" s="3">
        <v>2</v>
      </c>
      <c r="E285" s="3">
        <v>100</v>
      </c>
      <c r="F285">
        <v>90</v>
      </c>
      <c r="G285">
        <v>1986</v>
      </c>
      <c r="H285">
        <v>32</v>
      </c>
      <c r="I285" s="4">
        <f t="shared" si="24"/>
        <v>0.90909090909090906</v>
      </c>
      <c r="J285" s="3">
        <f t="shared" si="25"/>
        <v>0.9</v>
      </c>
      <c r="K285" s="4">
        <f t="shared" si="26"/>
        <v>0.98388721047331318</v>
      </c>
      <c r="L285" s="4">
        <f t="shared" si="27"/>
        <v>0.80499862675089251</v>
      </c>
    </row>
    <row r="286" spans="1:12" x14ac:dyDescent="0.3">
      <c r="A286" s="2">
        <v>45573</v>
      </c>
      <c r="B286" s="3">
        <v>24</v>
      </c>
      <c r="C286" s="3">
        <v>2</v>
      </c>
      <c r="D286" s="3">
        <v>3</v>
      </c>
      <c r="E286" s="3">
        <v>100</v>
      </c>
      <c r="F286">
        <v>95</v>
      </c>
      <c r="G286">
        <v>1778</v>
      </c>
      <c r="H286">
        <v>34</v>
      </c>
      <c r="I286" s="4">
        <f t="shared" si="24"/>
        <v>0.86363636363636365</v>
      </c>
      <c r="J286" s="3">
        <f t="shared" si="25"/>
        <v>0.95</v>
      </c>
      <c r="K286" s="4">
        <f t="shared" si="26"/>
        <v>0.98087739032620924</v>
      </c>
      <c r="L286" s="4">
        <f t="shared" si="27"/>
        <v>0.80476531342673074</v>
      </c>
    </row>
    <row r="287" spans="1:12" x14ac:dyDescent="0.3">
      <c r="A287" s="2">
        <v>45574</v>
      </c>
      <c r="B287" s="3">
        <v>24</v>
      </c>
      <c r="C287" s="3">
        <v>2</v>
      </c>
      <c r="D287" s="3">
        <v>3</v>
      </c>
      <c r="E287" s="3">
        <v>100</v>
      </c>
      <c r="F287">
        <v>93</v>
      </c>
      <c r="G287">
        <v>1826</v>
      </c>
      <c r="H287">
        <v>56</v>
      </c>
      <c r="I287" s="4">
        <f t="shared" si="24"/>
        <v>0.86363636363636365</v>
      </c>
      <c r="J287" s="3">
        <f t="shared" si="25"/>
        <v>0.93</v>
      </c>
      <c r="K287" s="4">
        <f t="shared" si="26"/>
        <v>0.96933187294633083</v>
      </c>
      <c r="L287" s="4">
        <f t="shared" si="27"/>
        <v>0.7785497361346212</v>
      </c>
    </row>
    <row r="288" spans="1:12" x14ac:dyDescent="0.3">
      <c r="A288" s="2">
        <v>45575</v>
      </c>
      <c r="B288" s="3">
        <v>24</v>
      </c>
      <c r="C288" s="3">
        <v>2</v>
      </c>
      <c r="D288" s="3">
        <v>3</v>
      </c>
      <c r="E288" s="3">
        <v>100</v>
      </c>
      <c r="F288">
        <v>88</v>
      </c>
      <c r="G288">
        <v>1860</v>
      </c>
      <c r="H288">
        <v>60</v>
      </c>
      <c r="I288" s="4">
        <f t="shared" si="24"/>
        <v>0.86363636363636365</v>
      </c>
      <c r="J288" s="3">
        <f t="shared" si="25"/>
        <v>0.88</v>
      </c>
      <c r="K288" s="4">
        <f t="shared" si="26"/>
        <v>0.967741935483871</v>
      </c>
      <c r="L288" s="4">
        <f t="shared" si="27"/>
        <v>0.73548387096774193</v>
      </c>
    </row>
    <row r="289" spans="1:12" x14ac:dyDescent="0.3">
      <c r="A289" s="2">
        <v>45576</v>
      </c>
      <c r="B289" s="3">
        <v>24</v>
      </c>
      <c r="C289" s="3">
        <v>3</v>
      </c>
      <c r="D289" s="3">
        <v>2</v>
      </c>
      <c r="E289" s="3">
        <v>100</v>
      </c>
      <c r="F289">
        <v>100</v>
      </c>
      <c r="G289">
        <v>1766</v>
      </c>
      <c r="H289">
        <v>21</v>
      </c>
      <c r="I289" s="4">
        <f t="shared" si="24"/>
        <v>0.90476190476190477</v>
      </c>
      <c r="J289" s="3">
        <f t="shared" si="25"/>
        <v>1</v>
      </c>
      <c r="K289" s="4">
        <f t="shared" si="26"/>
        <v>0.98810872027180063</v>
      </c>
      <c r="L289" s="4">
        <f t="shared" si="27"/>
        <v>0.8940031278649625</v>
      </c>
    </row>
    <row r="290" spans="1:12" x14ac:dyDescent="0.3">
      <c r="A290" s="2">
        <v>45577</v>
      </c>
      <c r="B290" s="3">
        <v>24</v>
      </c>
      <c r="C290" s="3">
        <v>3</v>
      </c>
      <c r="D290" s="3">
        <v>1</v>
      </c>
      <c r="E290" s="3">
        <v>100</v>
      </c>
      <c r="F290">
        <v>86</v>
      </c>
      <c r="G290">
        <v>2188</v>
      </c>
      <c r="H290">
        <v>43</v>
      </c>
      <c r="I290" s="4">
        <f t="shared" si="24"/>
        <v>0.95238095238095233</v>
      </c>
      <c r="J290" s="3">
        <f t="shared" si="25"/>
        <v>0.86</v>
      </c>
      <c r="K290" s="4">
        <f t="shared" si="26"/>
        <v>0.98034734917733091</v>
      </c>
      <c r="L290" s="4">
        <f t="shared" si="27"/>
        <v>0.80295116218333762</v>
      </c>
    </row>
    <row r="291" spans="1:12" x14ac:dyDescent="0.3">
      <c r="A291" s="2">
        <v>45578</v>
      </c>
      <c r="B291" s="3">
        <v>24</v>
      </c>
      <c r="C291" s="3">
        <v>1</v>
      </c>
      <c r="D291" s="3">
        <v>1</v>
      </c>
      <c r="E291" s="3">
        <v>100</v>
      </c>
      <c r="F291">
        <v>91</v>
      </c>
      <c r="G291">
        <v>2125</v>
      </c>
      <c r="H291">
        <v>58</v>
      </c>
      <c r="I291" s="4">
        <f t="shared" si="24"/>
        <v>0.95652173913043481</v>
      </c>
      <c r="J291" s="3">
        <f t="shared" si="25"/>
        <v>0.91</v>
      </c>
      <c r="K291" s="4">
        <f t="shared" si="26"/>
        <v>0.9727058823529412</v>
      </c>
      <c r="L291" s="4">
        <f t="shared" si="27"/>
        <v>0.84667703324808186</v>
      </c>
    </row>
    <row r="292" spans="1:12" x14ac:dyDescent="0.3">
      <c r="A292" s="2">
        <v>45579</v>
      </c>
      <c r="B292" s="3">
        <v>24</v>
      </c>
      <c r="C292" s="3">
        <v>3</v>
      </c>
      <c r="D292" s="3">
        <v>1</v>
      </c>
      <c r="E292" s="3">
        <v>100</v>
      </c>
      <c r="F292">
        <v>81</v>
      </c>
      <c r="G292">
        <v>1999</v>
      </c>
      <c r="H292">
        <v>22</v>
      </c>
      <c r="I292" s="4">
        <f t="shared" si="24"/>
        <v>0.95238095238095233</v>
      </c>
      <c r="J292" s="3">
        <f t="shared" si="25"/>
        <v>0.81</v>
      </c>
      <c r="K292" s="4">
        <f t="shared" si="26"/>
        <v>0.98899449724862432</v>
      </c>
      <c r="L292" s="4">
        <f t="shared" si="27"/>
        <v>0.76293861216322456</v>
      </c>
    </row>
    <row r="293" spans="1:12" x14ac:dyDescent="0.3">
      <c r="A293" s="2">
        <v>45580</v>
      </c>
      <c r="B293" s="3">
        <v>24</v>
      </c>
      <c r="C293" s="3">
        <v>1</v>
      </c>
      <c r="D293" s="3">
        <v>2</v>
      </c>
      <c r="E293" s="3">
        <v>100</v>
      </c>
      <c r="F293">
        <v>96</v>
      </c>
      <c r="G293">
        <v>1779</v>
      </c>
      <c r="H293">
        <v>35</v>
      </c>
      <c r="I293" s="4">
        <f t="shared" si="24"/>
        <v>0.91304347826086951</v>
      </c>
      <c r="J293" s="3">
        <f t="shared" si="25"/>
        <v>0.96</v>
      </c>
      <c r="K293" s="4">
        <f t="shared" si="26"/>
        <v>0.98032602585722317</v>
      </c>
      <c r="L293" s="4">
        <f t="shared" si="27"/>
        <v>0.85927707309920076</v>
      </c>
    </row>
    <row r="294" spans="1:12" x14ac:dyDescent="0.3">
      <c r="A294" s="2">
        <v>45581</v>
      </c>
      <c r="B294" s="3">
        <v>24</v>
      </c>
      <c r="C294" s="3">
        <v>2</v>
      </c>
      <c r="D294" s="3">
        <v>3</v>
      </c>
      <c r="E294" s="3">
        <v>100</v>
      </c>
      <c r="F294">
        <v>90</v>
      </c>
      <c r="G294">
        <v>2219</v>
      </c>
      <c r="H294">
        <v>49</v>
      </c>
      <c r="I294" s="4">
        <f t="shared" si="24"/>
        <v>0.86363636363636365</v>
      </c>
      <c r="J294" s="3">
        <f t="shared" si="25"/>
        <v>0.9</v>
      </c>
      <c r="K294" s="4">
        <f t="shared" si="26"/>
        <v>0.97791798107255523</v>
      </c>
      <c r="L294" s="4">
        <f t="shared" si="27"/>
        <v>0.76010897619730433</v>
      </c>
    </row>
    <row r="295" spans="1:12" x14ac:dyDescent="0.3">
      <c r="A295" s="2">
        <v>45582</v>
      </c>
      <c r="B295" s="3">
        <v>24</v>
      </c>
      <c r="C295" s="3">
        <v>2</v>
      </c>
      <c r="D295" s="3">
        <v>2</v>
      </c>
      <c r="E295" s="3">
        <v>100</v>
      </c>
      <c r="F295">
        <v>85</v>
      </c>
      <c r="G295">
        <v>2241</v>
      </c>
      <c r="H295">
        <v>40</v>
      </c>
      <c r="I295" s="4">
        <f t="shared" si="24"/>
        <v>0.90909090909090906</v>
      </c>
      <c r="J295" s="3">
        <f t="shared" si="25"/>
        <v>0.85</v>
      </c>
      <c r="K295" s="4">
        <f t="shared" si="26"/>
        <v>0.98215082552431954</v>
      </c>
      <c r="L295" s="4">
        <f t="shared" si="27"/>
        <v>0.75893472881424695</v>
      </c>
    </row>
    <row r="296" spans="1:12" x14ac:dyDescent="0.3">
      <c r="A296" s="2">
        <v>45583</v>
      </c>
      <c r="B296" s="3">
        <v>24</v>
      </c>
      <c r="C296" s="3">
        <v>1</v>
      </c>
      <c r="D296" s="3">
        <v>3</v>
      </c>
      <c r="E296" s="3">
        <v>100</v>
      </c>
      <c r="F296">
        <v>94</v>
      </c>
      <c r="G296">
        <v>2248</v>
      </c>
      <c r="H296">
        <v>27</v>
      </c>
      <c r="I296" s="4">
        <f t="shared" si="24"/>
        <v>0.86956521739130432</v>
      </c>
      <c r="J296" s="3">
        <f t="shared" si="25"/>
        <v>0.94</v>
      </c>
      <c r="K296" s="4">
        <f t="shared" si="26"/>
        <v>0.98798932384341642</v>
      </c>
      <c r="L296" s="4">
        <f t="shared" si="27"/>
        <v>0.80757388209809688</v>
      </c>
    </row>
    <row r="297" spans="1:12" x14ac:dyDescent="0.3">
      <c r="A297" s="2">
        <v>45584</v>
      </c>
      <c r="B297" s="3">
        <v>24</v>
      </c>
      <c r="C297" s="3">
        <v>3</v>
      </c>
      <c r="D297" s="3">
        <v>1</v>
      </c>
      <c r="E297" s="3">
        <v>100</v>
      </c>
      <c r="F297">
        <v>93</v>
      </c>
      <c r="G297">
        <v>1908</v>
      </c>
      <c r="H297">
        <v>48</v>
      </c>
      <c r="I297" s="4">
        <f t="shared" si="24"/>
        <v>0.95238095238095233</v>
      </c>
      <c r="J297" s="3">
        <f t="shared" si="25"/>
        <v>0.93</v>
      </c>
      <c r="K297" s="4">
        <f t="shared" si="26"/>
        <v>0.97484276729559749</v>
      </c>
      <c r="L297" s="4">
        <f t="shared" si="27"/>
        <v>0.86343216531895772</v>
      </c>
    </row>
    <row r="298" spans="1:12" x14ac:dyDescent="0.3">
      <c r="A298" s="2">
        <v>45585</v>
      </c>
      <c r="B298" s="3">
        <v>24</v>
      </c>
      <c r="C298" s="3">
        <v>2</v>
      </c>
      <c r="D298" s="3">
        <v>2</v>
      </c>
      <c r="E298" s="3">
        <v>100</v>
      </c>
      <c r="F298">
        <v>81</v>
      </c>
      <c r="G298">
        <v>1758</v>
      </c>
      <c r="H298">
        <v>45</v>
      </c>
      <c r="I298" s="4">
        <f t="shared" si="24"/>
        <v>0.90909090909090906</v>
      </c>
      <c r="J298" s="3">
        <f t="shared" si="25"/>
        <v>0.81</v>
      </c>
      <c r="K298" s="4">
        <f t="shared" si="26"/>
        <v>0.97440273037542657</v>
      </c>
      <c r="L298" s="4">
        <f t="shared" si="27"/>
        <v>0.71751473782190511</v>
      </c>
    </row>
    <row r="299" spans="1:12" x14ac:dyDescent="0.3">
      <c r="A299" s="2">
        <v>45586</v>
      </c>
      <c r="B299" s="3">
        <v>24</v>
      </c>
      <c r="C299" s="3">
        <v>3</v>
      </c>
      <c r="D299" s="3">
        <v>2</v>
      </c>
      <c r="E299" s="3">
        <v>100</v>
      </c>
      <c r="F299">
        <v>90</v>
      </c>
      <c r="G299">
        <v>2252</v>
      </c>
      <c r="H299">
        <v>41</v>
      </c>
      <c r="I299" s="4">
        <f t="shared" si="24"/>
        <v>0.90476190476190477</v>
      </c>
      <c r="J299" s="3">
        <f t="shared" si="25"/>
        <v>0.9</v>
      </c>
      <c r="K299" s="4">
        <f t="shared" si="26"/>
        <v>0.98179396092362348</v>
      </c>
      <c r="L299" s="4">
        <f t="shared" si="27"/>
        <v>0.79946079675209336</v>
      </c>
    </row>
    <row r="300" spans="1:12" x14ac:dyDescent="0.3">
      <c r="A300" s="2">
        <v>45587</v>
      </c>
      <c r="B300" s="3">
        <v>24</v>
      </c>
      <c r="C300" s="3">
        <v>1</v>
      </c>
      <c r="D300" s="3">
        <v>3</v>
      </c>
      <c r="E300" s="3">
        <v>100</v>
      </c>
      <c r="F300">
        <v>97</v>
      </c>
      <c r="G300">
        <v>1795</v>
      </c>
      <c r="H300">
        <v>60</v>
      </c>
      <c r="I300" s="4">
        <f t="shared" si="24"/>
        <v>0.86956521739130432</v>
      </c>
      <c r="J300" s="3">
        <f t="shared" si="25"/>
        <v>0.97</v>
      </c>
      <c r="K300" s="4">
        <f t="shared" si="26"/>
        <v>0.96657381615598881</v>
      </c>
      <c r="L300" s="4">
        <f t="shared" si="27"/>
        <v>0.81528400145331226</v>
      </c>
    </row>
    <row r="301" spans="1:12" x14ac:dyDescent="0.3">
      <c r="A301" s="2">
        <v>45588</v>
      </c>
      <c r="B301" s="3">
        <v>24</v>
      </c>
      <c r="C301" s="3">
        <v>3</v>
      </c>
      <c r="D301" s="3">
        <v>1</v>
      </c>
      <c r="E301" s="3">
        <v>100</v>
      </c>
      <c r="F301">
        <v>97</v>
      </c>
      <c r="G301">
        <v>2223</v>
      </c>
      <c r="H301">
        <v>24</v>
      </c>
      <c r="I301" s="4">
        <f t="shared" si="24"/>
        <v>0.95238095238095233</v>
      </c>
      <c r="J301" s="3">
        <f t="shared" si="25"/>
        <v>0.97</v>
      </c>
      <c r="K301" s="4">
        <f t="shared" si="26"/>
        <v>0.9892037786774629</v>
      </c>
      <c r="L301" s="4">
        <f t="shared" si="27"/>
        <v>0.91383587173060854</v>
      </c>
    </row>
    <row r="302" spans="1:12" x14ac:dyDescent="0.3">
      <c r="A302" s="2">
        <v>45589</v>
      </c>
      <c r="B302" s="3">
        <v>24</v>
      </c>
      <c r="C302" s="3">
        <v>3</v>
      </c>
      <c r="D302" s="3">
        <v>2</v>
      </c>
      <c r="E302" s="3">
        <v>100</v>
      </c>
      <c r="F302">
        <v>85</v>
      </c>
      <c r="G302">
        <v>1841</v>
      </c>
      <c r="H302">
        <v>21</v>
      </c>
      <c r="I302" s="4">
        <f t="shared" si="24"/>
        <v>0.90476190476190477</v>
      </c>
      <c r="J302" s="3">
        <f t="shared" si="25"/>
        <v>0.85</v>
      </c>
      <c r="K302" s="4">
        <f t="shared" si="26"/>
        <v>0.98859315589353614</v>
      </c>
      <c r="L302" s="4">
        <f t="shared" si="27"/>
        <v>0.76027521274669563</v>
      </c>
    </row>
    <row r="303" spans="1:12" x14ac:dyDescent="0.3">
      <c r="A303" s="2">
        <v>45590</v>
      </c>
      <c r="B303" s="3">
        <v>24</v>
      </c>
      <c r="C303" s="3">
        <v>3</v>
      </c>
      <c r="D303" s="3">
        <v>2</v>
      </c>
      <c r="E303" s="3">
        <v>100</v>
      </c>
      <c r="F303">
        <v>86</v>
      </c>
      <c r="G303">
        <v>2099</v>
      </c>
      <c r="H303">
        <v>26</v>
      </c>
      <c r="I303" s="4">
        <f t="shared" si="24"/>
        <v>0.90476190476190477</v>
      </c>
      <c r="J303" s="3">
        <f t="shared" si="25"/>
        <v>0.86</v>
      </c>
      <c r="K303" s="4">
        <f t="shared" si="26"/>
        <v>0.98761314911862796</v>
      </c>
      <c r="L303" s="4">
        <f t="shared" si="27"/>
        <v>0.76845708840944671</v>
      </c>
    </row>
    <row r="304" spans="1:12" x14ac:dyDescent="0.3">
      <c r="A304" s="2">
        <v>45591</v>
      </c>
      <c r="B304" s="3">
        <v>24</v>
      </c>
      <c r="C304" s="3">
        <v>2</v>
      </c>
      <c r="D304" s="3">
        <v>3</v>
      </c>
      <c r="E304" s="3">
        <v>100</v>
      </c>
      <c r="F304">
        <v>83</v>
      </c>
      <c r="G304">
        <v>1914</v>
      </c>
      <c r="H304">
        <v>56</v>
      </c>
      <c r="I304" s="4">
        <f t="shared" si="24"/>
        <v>0.86363636363636365</v>
      </c>
      <c r="J304" s="3">
        <f t="shared" si="25"/>
        <v>0.83</v>
      </c>
      <c r="K304" s="4">
        <f t="shared" si="26"/>
        <v>0.97074190177638453</v>
      </c>
      <c r="L304" s="4">
        <f t="shared" si="27"/>
        <v>0.69584544504607193</v>
      </c>
    </row>
    <row r="305" spans="1:12" x14ac:dyDescent="0.3">
      <c r="A305" s="2">
        <v>45592</v>
      </c>
      <c r="B305" s="3">
        <v>24</v>
      </c>
      <c r="C305" s="3">
        <v>2</v>
      </c>
      <c r="D305" s="3">
        <v>1</v>
      </c>
      <c r="E305" s="3">
        <v>100</v>
      </c>
      <c r="F305">
        <v>97</v>
      </c>
      <c r="G305">
        <v>2206</v>
      </c>
      <c r="H305">
        <v>58</v>
      </c>
      <c r="I305" s="4">
        <f t="shared" si="24"/>
        <v>0.95454545454545459</v>
      </c>
      <c r="J305" s="3">
        <f t="shared" si="25"/>
        <v>0.97</v>
      </c>
      <c r="K305" s="4">
        <f t="shared" si="26"/>
        <v>0.97370806890299189</v>
      </c>
      <c r="L305" s="4">
        <f t="shared" si="27"/>
        <v>0.90156515288881567</v>
      </c>
    </row>
    <row r="306" spans="1:12" x14ac:dyDescent="0.3">
      <c r="A306" s="2">
        <v>45593</v>
      </c>
      <c r="B306" s="3">
        <v>24</v>
      </c>
      <c r="C306" s="3">
        <v>1</v>
      </c>
      <c r="D306" s="3">
        <v>3</v>
      </c>
      <c r="E306" s="3">
        <v>100</v>
      </c>
      <c r="F306">
        <v>99</v>
      </c>
      <c r="G306">
        <v>2040</v>
      </c>
      <c r="H306">
        <v>51</v>
      </c>
      <c r="I306" s="4">
        <f t="shared" si="24"/>
        <v>0.86956521739130432</v>
      </c>
      <c r="J306" s="3">
        <f t="shared" si="25"/>
        <v>0.99</v>
      </c>
      <c r="K306" s="4">
        <f t="shared" si="26"/>
        <v>0.97499999999999998</v>
      </c>
      <c r="L306" s="4">
        <f t="shared" si="27"/>
        <v>0.83934782608695646</v>
      </c>
    </row>
    <row r="307" spans="1:12" x14ac:dyDescent="0.3">
      <c r="A307" s="2">
        <v>45594</v>
      </c>
      <c r="B307" s="3">
        <v>24</v>
      </c>
      <c r="C307" s="3">
        <v>3</v>
      </c>
      <c r="D307" s="3">
        <v>3</v>
      </c>
      <c r="E307" s="3">
        <v>100</v>
      </c>
      <c r="F307">
        <v>100</v>
      </c>
      <c r="G307">
        <v>2021</v>
      </c>
      <c r="H307">
        <v>25</v>
      </c>
      <c r="I307" s="4">
        <f t="shared" si="24"/>
        <v>0.8571428571428571</v>
      </c>
      <c r="J307" s="3">
        <f t="shared" si="25"/>
        <v>1</v>
      </c>
      <c r="K307" s="4">
        <f t="shared" si="26"/>
        <v>0.98762988619495296</v>
      </c>
      <c r="L307" s="4">
        <f t="shared" si="27"/>
        <v>0.84653990245281674</v>
      </c>
    </row>
    <row r="308" spans="1:12" x14ac:dyDescent="0.3">
      <c r="A308" s="2">
        <v>45595</v>
      </c>
      <c r="B308" s="3">
        <v>24</v>
      </c>
      <c r="C308" s="3">
        <v>2</v>
      </c>
      <c r="D308" s="3">
        <v>3</v>
      </c>
      <c r="E308" s="3">
        <v>100</v>
      </c>
      <c r="F308">
        <v>97</v>
      </c>
      <c r="G308">
        <v>1738</v>
      </c>
      <c r="H308">
        <v>22</v>
      </c>
      <c r="I308" s="4">
        <f t="shared" si="24"/>
        <v>0.86363636363636365</v>
      </c>
      <c r="J308" s="3">
        <f t="shared" si="25"/>
        <v>0.97</v>
      </c>
      <c r="K308" s="4">
        <f t="shared" si="26"/>
        <v>0.98734177215189878</v>
      </c>
      <c r="L308" s="4">
        <f t="shared" si="27"/>
        <v>0.82712313003452254</v>
      </c>
    </row>
    <row r="309" spans="1:12" x14ac:dyDescent="0.3">
      <c r="A309" s="2">
        <v>45596</v>
      </c>
      <c r="B309" s="3">
        <v>24</v>
      </c>
      <c r="C309" s="3">
        <v>3</v>
      </c>
      <c r="D309" s="3">
        <v>1</v>
      </c>
      <c r="E309" s="3">
        <v>100</v>
      </c>
      <c r="F309">
        <v>92</v>
      </c>
      <c r="G309">
        <v>1733</v>
      </c>
      <c r="H309">
        <v>23</v>
      </c>
      <c r="I309" s="4">
        <f t="shared" si="24"/>
        <v>0.95238095238095233</v>
      </c>
      <c r="J309" s="3">
        <f t="shared" si="25"/>
        <v>0.92</v>
      </c>
      <c r="K309" s="4">
        <f t="shared" si="26"/>
        <v>0.98672821696480095</v>
      </c>
      <c r="L309" s="4">
        <f t="shared" si="27"/>
        <v>0.86456186629296849</v>
      </c>
    </row>
    <row r="310" spans="1:12" x14ac:dyDescent="0.3">
      <c r="A310" s="2">
        <v>45597</v>
      </c>
      <c r="B310" s="3">
        <v>24</v>
      </c>
      <c r="C310" s="3">
        <v>3</v>
      </c>
      <c r="D310" s="3">
        <v>1</v>
      </c>
      <c r="E310" s="3">
        <v>100</v>
      </c>
      <c r="F310">
        <v>89</v>
      </c>
      <c r="G310">
        <v>2085</v>
      </c>
      <c r="H310">
        <v>47</v>
      </c>
      <c r="I310" s="4">
        <f t="shared" si="24"/>
        <v>0.95238095238095233</v>
      </c>
      <c r="J310" s="3">
        <f t="shared" si="25"/>
        <v>0.89</v>
      </c>
      <c r="K310" s="4">
        <f t="shared" si="26"/>
        <v>0.97745803357314154</v>
      </c>
      <c r="L310" s="4">
        <f t="shared" si="27"/>
        <v>0.8285120475048533</v>
      </c>
    </row>
    <row r="311" spans="1:12" x14ac:dyDescent="0.3">
      <c r="A311" s="2">
        <v>45598</v>
      </c>
      <c r="B311" s="3">
        <v>24</v>
      </c>
      <c r="C311" s="3">
        <v>2</v>
      </c>
      <c r="D311" s="3">
        <v>2</v>
      </c>
      <c r="E311" s="3">
        <v>100</v>
      </c>
      <c r="F311">
        <v>97</v>
      </c>
      <c r="G311">
        <v>2095</v>
      </c>
      <c r="H311">
        <v>55</v>
      </c>
      <c r="I311" s="4">
        <f t="shared" si="24"/>
        <v>0.90909090909090906</v>
      </c>
      <c r="J311" s="3">
        <f t="shared" si="25"/>
        <v>0.97</v>
      </c>
      <c r="K311" s="4">
        <f t="shared" si="26"/>
        <v>0.97374701670644392</v>
      </c>
      <c r="L311" s="4">
        <f t="shared" si="27"/>
        <v>0.85866782382295503</v>
      </c>
    </row>
    <row r="312" spans="1:12" x14ac:dyDescent="0.3">
      <c r="A312" s="2">
        <v>45599</v>
      </c>
      <c r="B312" s="3">
        <v>24</v>
      </c>
      <c r="C312" s="3">
        <v>3</v>
      </c>
      <c r="D312" s="3">
        <v>3</v>
      </c>
      <c r="E312" s="3">
        <v>100</v>
      </c>
      <c r="F312">
        <v>86</v>
      </c>
      <c r="G312">
        <v>1856</v>
      </c>
      <c r="H312">
        <v>48</v>
      </c>
      <c r="I312" s="4">
        <f t="shared" si="24"/>
        <v>0.8571428571428571</v>
      </c>
      <c r="J312" s="3">
        <f t="shared" si="25"/>
        <v>0.86</v>
      </c>
      <c r="K312" s="4">
        <f t="shared" si="26"/>
        <v>0.97413793103448276</v>
      </c>
      <c r="L312" s="4">
        <f t="shared" si="27"/>
        <v>0.71807881773399007</v>
      </c>
    </row>
    <row r="313" spans="1:12" x14ac:dyDescent="0.3">
      <c r="A313" s="2">
        <v>45600</v>
      </c>
      <c r="B313" s="3">
        <v>24</v>
      </c>
      <c r="C313" s="3">
        <v>3</v>
      </c>
      <c r="D313" s="3">
        <v>1</v>
      </c>
      <c r="E313" s="3">
        <v>100</v>
      </c>
      <c r="F313">
        <v>98</v>
      </c>
      <c r="G313">
        <v>2137</v>
      </c>
      <c r="H313">
        <v>29</v>
      </c>
      <c r="I313" s="4">
        <f t="shared" si="24"/>
        <v>0.95238095238095233</v>
      </c>
      <c r="J313" s="3">
        <f t="shared" si="25"/>
        <v>0.98</v>
      </c>
      <c r="K313" s="4">
        <f t="shared" si="26"/>
        <v>0.98642957416939636</v>
      </c>
      <c r="L313" s="4">
        <f t="shared" si="27"/>
        <v>0.9206676025581032</v>
      </c>
    </row>
    <row r="314" spans="1:12" x14ac:dyDescent="0.3">
      <c r="A314" s="2">
        <v>45601</v>
      </c>
      <c r="B314" s="3">
        <v>24</v>
      </c>
      <c r="C314" s="3">
        <v>1</v>
      </c>
      <c r="D314" s="3">
        <v>2</v>
      </c>
      <c r="E314" s="3">
        <v>100</v>
      </c>
      <c r="F314">
        <v>100</v>
      </c>
      <c r="G314">
        <v>1946</v>
      </c>
      <c r="H314">
        <v>52</v>
      </c>
      <c r="I314" s="4">
        <f t="shared" si="24"/>
        <v>0.91304347826086951</v>
      </c>
      <c r="J314" s="3">
        <f t="shared" si="25"/>
        <v>1</v>
      </c>
      <c r="K314" s="4">
        <f t="shared" si="26"/>
        <v>0.97327852004110993</v>
      </c>
      <c r="L314" s="4">
        <f t="shared" si="27"/>
        <v>0.88864560525492642</v>
      </c>
    </row>
    <row r="315" spans="1:12" x14ac:dyDescent="0.3">
      <c r="A315" s="2">
        <v>45602</v>
      </c>
      <c r="B315" s="3">
        <v>24</v>
      </c>
      <c r="C315" s="3">
        <v>1</v>
      </c>
      <c r="D315" s="3">
        <v>3</v>
      </c>
      <c r="E315" s="3">
        <v>100</v>
      </c>
      <c r="F315">
        <v>97</v>
      </c>
      <c r="G315">
        <v>2016</v>
      </c>
      <c r="H315">
        <v>49</v>
      </c>
      <c r="I315" s="4">
        <f t="shared" si="24"/>
        <v>0.86956521739130432</v>
      </c>
      <c r="J315" s="3">
        <f t="shared" si="25"/>
        <v>0.97</v>
      </c>
      <c r="K315" s="4">
        <f t="shared" si="26"/>
        <v>0.97569444444444442</v>
      </c>
      <c r="L315" s="4">
        <f t="shared" si="27"/>
        <v>0.8229770531400965</v>
      </c>
    </row>
    <row r="316" spans="1:12" x14ac:dyDescent="0.3">
      <c r="A316" s="2">
        <v>45603</v>
      </c>
      <c r="B316" s="3">
        <v>24</v>
      </c>
      <c r="C316" s="3">
        <v>1</v>
      </c>
      <c r="D316" s="3">
        <v>2</v>
      </c>
      <c r="E316" s="3">
        <v>100</v>
      </c>
      <c r="F316">
        <v>96</v>
      </c>
      <c r="G316">
        <v>2009</v>
      </c>
      <c r="H316">
        <v>45</v>
      </c>
      <c r="I316" s="4">
        <f t="shared" si="24"/>
        <v>0.91304347826086951</v>
      </c>
      <c r="J316" s="3">
        <f t="shared" si="25"/>
        <v>0.96</v>
      </c>
      <c r="K316" s="4">
        <f t="shared" si="26"/>
        <v>0.9776007964161274</v>
      </c>
      <c r="L316" s="4">
        <f t="shared" si="27"/>
        <v>0.85688835024996202</v>
      </c>
    </row>
    <row r="317" spans="1:12" x14ac:dyDescent="0.3">
      <c r="A317" s="2">
        <v>45604</v>
      </c>
      <c r="B317" s="3">
        <v>24</v>
      </c>
      <c r="C317" s="3">
        <v>1</v>
      </c>
      <c r="D317" s="3">
        <v>2</v>
      </c>
      <c r="E317" s="3">
        <v>100</v>
      </c>
      <c r="F317">
        <v>92</v>
      </c>
      <c r="G317">
        <v>1711</v>
      </c>
      <c r="H317">
        <v>44</v>
      </c>
      <c r="I317" s="4">
        <f t="shared" si="24"/>
        <v>0.91304347826086951</v>
      </c>
      <c r="J317" s="3">
        <f t="shared" si="25"/>
        <v>0.92</v>
      </c>
      <c r="K317" s="4">
        <f t="shared" si="26"/>
        <v>0.97428404441846872</v>
      </c>
      <c r="L317" s="4">
        <f t="shared" si="27"/>
        <v>0.81839859731151365</v>
      </c>
    </row>
    <row r="318" spans="1:12" x14ac:dyDescent="0.3">
      <c r="A318" s="2">
        <v>45605</v>
      </c>
      <c r="B318" s="3">
        <v>24</v>
      </c>
      <c r="C318" s="3">
        <v>3</v>
      </c>
      <c r="D318" s="3">
        <v>1</v>
      </c>
      <c r="E318" s="3">
        <v>100</v>
      </c>
      <c r="F318">
        <v>96</v>
      </c>
      <c r="G318">
        <v>2183</v>
      </c>
      <c r="H318">
        <v>38</v>
      </c>
      <c r="I318" s="4">
        <f t="shared" si="24"/>
        <v>0.95238095238095233</v>
      </c>
      <c r="J318" s="3">
        <f t="shared" si="25"/>
        <v>0.96</v>
      </c>
      <c r="K318" s="4">
        <f t="shared" si="26"/>
        <v>0.98259276225377923</v>
      </c>
      <c r="L318" s="4">
        <f t="shared" si="27"/>
        <v>0.8983705254891694</v>
      </c>
    </row>
    <row r="319" spans="1:12" x14ac:dyDescent="0.3">
      <c r="A319" s="2">
        <v>45606</v>
      </c>
      <c r="B319" s="3">
        <v>24</v>
      </c>
      <c r="C319" s="3">
        <v>1</v>
      </c>
      <c r="D319" s="3">
        <v>2</v>
      </c>
      <c r="E319" s="3">
        <v>100</v>
      </c>
      <c r="F319">
        <v>84</v>
      </c>
      <c r="G319">
        <v>1752</v>
      </c>
      <c r="H319">
        <v>30</v>
      </c>
      <c r="I319" s="4">
        <f t="shared" si="24"/>
        <v>0.91304347826086951</v>
      </c>
      <c r="J319" s="3">
        <f t="shared" si="25"/>
        <v>0.84</v>
      </c>
      <c r="K319" s="4">
        <f t="shared" si="26"/>
        <v>0.98287671232876717</v>
      </c>
      <c r="L319" s="4">
        <f t="shared" si="27"/>
        <v>0.75382370458606307</v>
      </c>
    </row>
    <row r="320" spans="1:12" x14ac:dyDescent="0.3">
      <c r="A320" s="2">
        <v>45607</v>
      </c>
      <c r="B320" s="3">
        <v>24</v>
      </c>
      <c r="C320" s="3">
        <v>2</v>
      </c>
      <c r="D320" s="3">
        <v>1</v>
      </c>
      <c r="E320" s="3">
        <v>100</v>
      </c>
      <c r="F320">
        <v>89</v>
      </c>
      <c r="G320">
        <v>2098</v>
      </c>
      <c r="H320">
        <v>53</v>
      </c>
      <c r="I320" s="4">
        <f t="shared" si="24"/>
        <v>0.95454545454545459</v>
      </c>
      <c r="J320" s="3">
        <f t="shared" si="25"/>
        <v>0.89</v>
      </c>
      <c r="K320" s="4">
        <f t="shared" si="26"/>
        <v>0.97473784556720688</v>
      </c>
      <c r="L320" s="4">
        <f t="shared" si="27"/>
        <v>0.8280841060750499</v>
      </c>
    </row>
    <row r="321" spans="1:12" x14ac:dyDescent="0.3">
      <c r="A321" s="2">
        <v>45608</v>
      </c>
      <c r="B321" s="3">
        <v>24</v>
      </c>
      <c r="C321" s="3">
        <v>3</v>
      </c>
      <c r="D321" s="3">
        <v>1</v>
      </c>
      <c r="E321" s="3">
        <v>100</v>
      </c>
      <c r="F321">
        <v>86</v>
      </c>
      <c r="G321">
        <v>2099</v>
      </c>
      <c r="H321">
        <v>39</v>
      </c>
      <c r="I321" s="4">
        <f t="shared" si="24"/>
        <v>0.95238095238095233</v>
      </c>
      <c r="J321" s="3">
        <f t="shared" si="25"/>
        <v>0.86</v>
      </c>
      <c r="K321" s="4">
        <f t="shared" si="26"/>
        <v>0.98141972367794184</v>
      </c>
      <c r="L321" s="4">
        <f t="shared" si="27"/>
        <v>0.80382948796479048</v>
      </c>
    </row>
    <row r="322" spans="1:12" x14ac:dyDescent="0.3">
      <c r="A322" s="2">
        <v>45609</v>
      </c>
      <c r="B322" s="3">
        <v>24</v>
      </c>
      <c r="C322" s="3">
        <v>3</v>
      </c>
      <c r="D322" s="3">
        <v>3</v>
      </c>
      <c r="E322" s="3">
        <v>100</v>
      </c>
      <c r="F322">
        <v>83</v>
      </c>
      <c r="G322">
        <v>1854</v>
      </c>
      <c r="H322">
        <v>46</v>
      </c>
      <c r="I322" s="4">
        <f t="shared" si="24"/>
        <v>0.8571428571428571</v>
      </c>
      <c r="J322" s="3">
        <f t="shared" si="25"/>
        <v>0.83</v>
      </c>
      <c r="K322" s="4">
        <f t="shared" si="26"/>
        <v>0.97518878101402373</v>
      </c>
      <c r="L322" s="4">
        <f t="shared" si="27"/>
        <v>0.69377716134997691</v>
      </c>
    </row>
    <row r="323" spans="1:12" x14ac:dyDescent="0.3">
      <c r="A323" s="2">
        <v>45610</v>
      </c>
      <c r="B323" s="3">
        <v>24</v>
      </c>
      <c r="C323" s="3">
        <v>1</v>
      </c>
      <c r="D323" s="3">
        <v>3</v>
      </c>
      <c r="E323" s="3">
        <v>100</v>
      </c>
      <c r="F323">
        <v>94</v>
      </c>
      <c r="G323">
        <v>1963</v>
      </c>
      <c r="H323">
        <v>43</v>
      </c>
      <c r="I323" s="4">
        <f t="shared" si="24"/>
        <v>0.86956521739130432</v>
      </c>
      <c r="J323" s="3">
        <f t="shared" si="25"/>
        <v>0.94</v>
      </c>
      <c r="K323" s="4">
        <f t="shared" si="26"/>
        <v>0.97809475292919001</v>
      </c>
      <c r="L323" s="4">
        <f t="shared" si="27"/>
        <v>0.79948614587255529</v>
      </c>
    </row>
    <row r="324" spans="1:12" x14ac:dyDescent="0.3">
      <c r="A324" s="2">
        <v>45611</v>
      </c>
      <c r="B324" s="3">
        <v>24</v>
      </c>
      <c r="C324" s="3">
        <v>2</v>
      </c>
      <c r="D324" s="3">
        <v>1</v>
      </c>
      <c r="E324" s="3">
        <v>100</v>
      </c>
      <c r="F324">
        <v>97</v>
      </c>
      <c r="G324">
        <v>2089</v>
      </c>
      <c r="H324">
        <v>36</v>
      </c>
      <c r="I324" s="4">
        <f t="shared" si="24"/>
        <v>0.95454545454545459</v>
      </c>
      <c r="J324" s="3">
        <f t="shared" si="25"/>
        <v>0.97</v>
      </c>
      <c r="K324" s="4">
        <f t="shared" si="26"/>
        <v>0.98276687410244135</v>
      </c>
      <c r="L324" s="4">
        <f t="shared" si="27"/>
        <v>0.90995278297576043</v>
      </c>
    </row>
    <row r="325" spans="1:12" x14ac:dyDescent="0.3">
      <c r="A325" s="2">
        <v>45612</v>
      </c>
      <c r="B325" s="3">
        <v>24</v>
      </c>
      <c r="C325" s="3">
        <v>3</v>
      </c>
      <c r="D325" s="3">
        <v>1</v>
      </c>
      <c r="E325" s="3">
        <v>100</v>
      </c>
      <c r="F325">
        <v>84</v>
      </c>
      <c r="G325">
        <v>1739</v>
      </c>
      <c r="H325">
        <v>53</v>
      </c>
      <c r="I325" s="4">
        <f t="shared" si="24"/>
        <v>0.95238095238095233</v>
      </c>
      <c r="J325" s="3">
        <f t="shared" si="25"/>
        <v>0.84</v>
      </c>
      <c r="K325" s="4">
        <f t="shared" si="26"/>
        <v>0.96952271420356528</v>
      </c>
      <c r="L325" s="4">
        <f t="shared" si="27"/>
        <v>0.77561817136285216</v>
      </c>
    </row>
    <row r="326" spans="1:12" x14ac:dyDescent="0.3">
      <c r="A326" s="2">
        <v>45613</v>
      </c>
      <c r="B326" s="3">
        <v>24</v>
      </c>
      <c r="C326" s="3">
        <v>2</v>
      </c>
      <c r="D326" s="3">
        <v>1</v>
      </c>
      <c r="E326" s="3">
        <v>100</v>
      </c>
      <c r="F326">
        <v>98</v>
      </c>
      <c r="G326">
        <v>2163</v>
      </c>
      <c r="H326">
        <v>41</v>
      </c>
      <c r="I326" s="4">
        <f t="shared" si="24"/>
        <v>0.95454545454545459</v>
      </c>
      <c r="J326" s="3">
        <f t="shared" si="25"/>
        <v>0.98</v>
      </c>
      <c r="K326" s="4">
        <f t="shared" si="26"/>
        <v>0.981044845122515</v>
      </c>
      <c r="L326" s="4">
        <f t="shared" si="27"/>
        <v>0.9177228596646072</v>
      </c>
    </row>
    <row r="327" spans="1:12" x14ac:dyDescent="0.3">
      <c r="A327" s="2">
        <v>45614</v>
      </c>
      <c r="B327" s="3">
        <v>24</v>
      </c>
      <c r="C327" s="3">
        <v>1</v>
      </c>
      <c r="D327" s="3">
        <v>3</v>
      </c>
      <c r="E327" s="3">
        <v>100</v>
      </c>
      <c r="F327">
        <v>81</v>
      </c>
      <c r="G327">
        <v>1750</v>
      </c>
      <c r="H327">
        <v>45</v>
      </c>
      <c r="I327" s="4">
        <f t="shared" si="24"/>
        <v>0.86956521739130432</v>
      </c>
      <c r="J327" s="3">
        <f t="shared" si="25"/>
        <v>0.81</v>
      </c>
      <c r="K327" s="4">
        <f t="shared" si="26"/>
        <v>0.97428571428571431</v>
      </c>
      <c r="L327" s="4">
        <f t="shared" si="27"/>
        <v>0.68623602484472057</v>
      </c>
    </row>
    <row r="328" spans="1:12" x14ac:dyDescent="0.3">
      <c r="A328" s="2">
        <v>45615</v>
      </c>
      <c r="B328" s="3">
        <v>24</v>
      </c>
      <c r="C328" s="3">
        <v>1</v>
      </c>
      <c r="D328" s="3">
        <v>3</v>
      </c>
      <c r="E328" s="3">
        <v>100</v>
      </c>
      <c r="F328">
        <v>80</v>
      </c>
      <c r="G328">
        <v>1894</v>
      </c>
      <c r="H328">
        <v>40</v>
      </c>
      <c r="I328" s="4">
        <f t="shared" si="24"/>
        <v>0.86956521739130432</v>
      </c>
      <c r="J328" s="3">
        <f t="shared" si="25"/>
        <v>0.8</v>
      </c>
      <c r="K328" s="4">
        <f t="shared" si="26"/>
        <v>0.97888067581837379</v>
      </c>
      <c r="L328" s="4">
        <f t="shared" si="27"/>
        <v>0.68096047013452088</v>
      </c>
    </row>
    <row r="329" spans="1:12" x14ac:dyDescent="0.3">
      <c r="A329" s="2">
        <v>45616</v>
      </c>
      <c r="B329" s="3">
        <v>24</v>
      </c>
      <c r="C329" s="3">
        <v>2</v>
      </c>
      <c r="D329" s="3">
        <v>2</v>
      </c>
      <c r="E329" s="3">
        <v>100</v>
      </c>
      <c r="F329">
        <v>91</v>
      </c>
      <c r="G329">
        <v>2174</v>
      </c>
      <c r="H329">
        <v>27</v>
      </c>
      <c r="I329" s="4">
        <f t="shared" si="24"/>
        <v>0.90909090909090906</v>
      </c>
      <c r="J329" s="3">
        <f t="shared" si="25"/>
        <v>0.91</v>
      </c>
      <c r="K329" s="4">
        <f t="shared" si="26"/>
        <v>0.98758049678012882</v>
      </c>
      <c r="L329" s="4">
        <f t="shared" si="27"/>
        <v>0.81699841097265202</v>
      </c>
    </row>
    <row r="330" spans="1:12" x14ac:dyDescent="0.3">
      <c r="A330" s="2">
        <v>45617</v>
      </c>
      <c r="B330" s="3">
        <v>24</v>
      </c>
      <c r="C330" s="3">
        <v>2</v>
      </c>
      <c r="D330" s="3">
        <v>3</v>
      </c>
      <c r="E330" s="3">
        <v>100</v>
      </c>
      <c r="F330">
        <v>99</v>
      </c>
      <c r="G330">
        <v>2249</v>
      </c>
      <c r="H330">
        <v>23</v>
      </c>
      <c r="I330" s="4">
        <f t="shared" si="24"/>
        <v>0.86363636363636365</v>
      </c>
      <c r="J330" s="3">
        <f t="shared" si="25"/>
        <v>0.99</v>
      </c>
      <c r="K330" s="4">
        <f t="shared" si="26"/>
        <v>0.98977323254779903</v>
      </c>
      <c r="L330" s="4">
        <f t="shared" si="27"/>
        <v>0.84625611382836818</v>
      </c>
    </row>
    <row r="331" spans="1:12" x14ac:dyDescent="0.3">
      <c r="A331" s="2">
        <v>45618</v>
      </c>
      <c r="B331" s="3">
        <v>24</v>
      </c>
      <c r="C331" s="3">
        <v>3</v>
      </c>
      <c r="D331" s="3">
        <v>3</v>
      </c>
      <c r="E331" s="3">
        <v>100</v>
      </c>
      <c r="F331">
        <v>89</v>
      </c>
      <c r="G331">
        <v>2210</v>
      </c>
      <c r="H331">
        <v>22</v>
      </c>
      <c r="I331" s="4">
        <f t="shared" si="24"/>
        <v>0.8571428571428571</v>
      </c>
      <c r="J331" s="3">
        <f t="shared" si="25"/>
        <v>0.89</v>
      </c>
      <c r="K331" s="4">
        <f t="shared" si="26"/>
        <v>0.99004524886877832</v>
      </c>
      <c r="L331" s="4">
        <f t="shared" si="27"/>
        <v>0.75526308985132506</v>
      </c>
    </row>
    <row r="332" spans="1:12" x14ac:dyDescent="0.3">
      <c r="A332" s="2">
        <v>45619</v>
      </c>
      <c r="B332" s="3">
        <v>24</v>
      </c>
      <c r="C332" s="3">
        <v>2</v>
      </c>
      <c r="D332" s="3">
        <v>3</v>
      </c>
      <c r="E332" s="3">
        <v>100</v>
      </c>
      <c r="F332">
        <v>91</v>
      </c>
      <c r="G332">
        <v>1876</v>
      </c>
      <c r="H332">
        <v>33</v>
      </c>
      <c r="I332" s="4">
        <f t="shared" si="24"/>
        <v>0.86363636363636365</v>
      </c>
      <c r="J332" s="3">
        <f t="shared" si="25"/>
        <v>0.91</v>
      </c>
      <c r="K332" s="4">
        <f t="shared" si="26"/>
        <v>0.98240938166311298</v>
      </c>
      <c r="L332" s="4">
        <f t="shared" si="27"/>
        <v>0.77208446404341924</v>
      </c>
    </row>
    <row r="333" spans="1:12" x14ac:dyDescent="0.3">
      <c r="A333" s="2">
        <v>45620</v>
      </c>
      <c r="B333" s="3">
        <v>24</v>
      </c>
      <c r="C333" s="3">
        <v>1</v>
      </c>
      <c r="D333" s="3">
        <v>1</v>
      </c>
      <c r="E333" s="3">
        <v>100</v>
      </c>
      <c r="F333">
        <v>90</v>
      </c>
      <c r="G333">
        <v>2162</v>
      </c>
      <c r="H333">
        <v>31</v>
      </c>
      <c r="I333" s="4">
        <f t="shared" si="24"/>
        <v>0.95652173913043481</v>
      </c>
      <c r="J333" s="3">
        <f t="shared" si="25"/>
        <v>0.9</v>
      </c>
      <c r="K333" s="4">
        <f t="shared" si="26"/>
        <v>0.98566142460684547</v>
      </c>
      <c r="L333" s="4">
        <f t="shared" si="27"/>
        <v>0.8485259220528496</v>
      </c>
    </row>
    <row r="334" spans="1:12" x14ac:dyDescent="0.3">
      <c r="A334" s="2">
        <v>45621</v>
      </c>
      <c r="B334" s="3">
        <v>24</v>
      </c>
      <c r="C334" s="3">
        <v>3</v>
      </c>
      <c r="D334" s="3">
        <v>3</v>
      </c>
      <c r="E334" s="3">
        <v>100</v>
      </c>
      <c r="F334">
        <v>89</v>
      </c>
      <c r="G334">
        <v>1966</v>
      </c>
      <c r="H334">
        <v>38</v>
      </c>
      <c r="I334" s="4">
        <f t="shared" si="24"/>
        <v>0.8571428571428571</v>
      </c>
      <c r="J334" s="3">
        <f t="shared" si="25"/>
        <v>0.89</v>
      </c>
      <c r="K334" s="4">
        <f t="shared" si="26"/>
        <v>0.98067141403865721</v>
      </c>
      <c r="L334" s="4">
        <f t="shared" si="27"/>
        <v>0.74811219299520415</v>
      </c>
    </row>
    <row r="335" spans="1:12" x14ac:dyDescent="0.3">
      <c r="A335" s="2">
        <v>45622</v>
      </c>
      <c r="B335" s="3">
        <v>24</v>
      </c>
      <c r="C335" s="3">
        <v>1</v>
      </c>
      <c r="D335" s="3">
        <v>3</v>
      </c>
      <c r="E335" s="3">
        <v>100</v>
      </c>
      <c r="F335">
        <v>90</v>
      </c>
      <c r="G335">
        <v>2295</v>
      </c>
      <c r="H335">
        <v>27</v>
      </c>
      <c r="I335" s="4">
        <f t="shared" ref="I335:I370" si="28">(B335-C335-D335)/(B335-C335)</f>
        <v>0.86956521739130432</v>
      </c>
      <c r="J335" s="3">
        <f t="shared" ref="J335:J370" si="29">F335/E335</f>
        <v>0.9</v>
      </c>
      <c r="K335" s="4">
        <f t="shared" ref="K335:K370" si="30">(G335-H335)/G335</f>
        <v>0.9882352941176471</v>
      </c>
      <c r="L335" s="4">
        <f t="shared" ref="L335:L370" si="31">I335*J335*K335</f>
        <v>0.77340153452685434</v>
      </c>
    </row>
    <row r="336" spans="1:12" x14ac:dyDescent="0.3">
      <c r="A336" s="2">
        <v>45623</v>
      </c>
      <c r="B336" s="3">
        <v>24</v>
      </c>
      <c r="C336" s="3">
        <v>2</v>
      </c>
      <c r="D336" s="3">
        <v>3</v>
      </c>
      <c r="E336" s="3">
        <v>100</v>
      </c>
      <c r="F336">
        <v>94</v>
      </c>
      <c r="G336">
        <v>1777</v>
      </c>
      <c r="H336">
        <v>28</v>
      </c>
      <c r="I336" s="4">
        <f t="shared" si="28"/>
        <v>0.86363636363636365</v>
      </c>
      <c r="J336" s="3">
        <f t="shared" si="29"/>
        <v>0.94</v>
      </c>
      <c r="K336" s="4">
        <f t="shared" si="30"/>
        <v>0.98424310635903212</v>
      </c>
      <c r="L336" s="4">
        <f t="shared" si="31"/>
        <v>0.7990264490714688</v>
      </c>
    </row>
    <row r="337" spans="1:12" x14ac:dyDescent="0.3">
      <c r="A337" s="2">
        <v>45624</v>
      </c>
      <c r="B337" s="3">
        <v>24</v>
      </c>
      <c r="C337" s="3">
        <v>3</v>
      </c>
      <c r="D337" s="3">
        <v>1</v>
      </c>
      <c r="E337" s="3">
        <v>100</v>
      </c>
      <c r="F337">
        <v>82</v>
      </c>
      <c r="G337">
        <v>2150</v>
      </c>
      <c r="H337">
        <v>53</v>
      </c>
      <c r="I337" s="4">
        <f t="shared" si="28"/>
        <v>0.95238095238095233</v>
      </c>
      <c r="J337" s="3">
        <f t="shared" si="29"/>
        <v>0.82</v>
      </c>
      <c r="K337" s="4">
        <f t="shared" si="30"/>
        <v>0.97534883720930232</v>
      </c>
      <c r="L337" s="4">
        <f t="shared" si="31"/>
        <v>0.76170099667774072</v>
      </c>
    </row>
    <row r="338" spans="1:12" x14ac:dyDescent="0.3">
      <c r="A338" s="2">
        <v>45625</v>
      </c>
      <c r="B338" s="3">
        <v>24</v>
      </c>
      <c r="C338" s="3">
        <v>1</v>
      </c>
      <c r="D338" s="3">
        <v>1</v>
      </c>
      <c r="E338" s="3">
        <v>100</v>
      </c>
      <c r="F338">
        <v>83</v>
      </c>
      <c r="G338">
        <v>2028</v>
      </c>
      <c r="H338">
        <v>51</v>
      </c>
      <c r="I338" s="4">
        <f t="shared" si="28"/>
        <v>0.95652173913043481</v>
      </c>
      <c r="J338" s="3">
        <f t="shared" si="29"/>
        <v>0.83</v>
      </c>
      <c r="K338" s="4">
        <f t="shared" si="30"/>
        <v>0.9748520710059172</v>
      </c>
      <c r="L338" s="4">
        <f t="shared" si="31"/>
        <v>0.77394777463339337</v>
      </c>
    </row>
    <row r="339" spans="1:12" x14ac:dyDescent="0.3">
      <c r="A339" s="2">
        <v>45626</v>
      </c>
      <c r="B339" s="3">
        <v>24</v>
      </c>
      <c r="C339" s="3">
        <v>3</v>
      </c>
      <c r="D339" s="3">
        <v>2</v>
      </c>
      <c r="E339" s="3">
        <v>100</v>
      </c>
      <c r="F339">
        <v>96</v>
      </c>
      <c r="G339">
        <v>1783</v>
      </c>
      <c r="H339">
        <v>33</v>
      </c>
      <c r="I339" s="4">
        <f t="shared" si="28"/>
        <v>0.90476190476190477</v>
      </c>
      <c r="J339" s="3">
        <f t="shared" si="29"/>
        <v>0.96</v>
      </c>
      <c r="K339" s="4">
        <f t="shared" si="30"/>
        <v>0.98149186763881102</v>
      </c>
      <c r="L339" s="4">
        <f t="shared" si="31"/>
        <v>0.85249579360628158</v>
      </c>
    </row>
    <row r="340" spans="1:12" x14ac:dyDescent="0.3">
      <c r="A340" s="2">
        <v>45627</v>
      </c>
      <c r="B340" s="3">
        <v>24</v>
      </c>
      <c r="C340" s="3">
        <v>2</v>
      </c>
      <c r="D340" s="3">
        <v>3</v>
      </c>
      <c r="E340" s="3">
        <v>100</v>
      </c>
      <c r="F340">
        <v>95</v>
      </c>
      <c r="G340">
        <v>1975</v>
      </c>
      <c r="H340">
        <v>56</v>
      </c>
      <c r="I340" s="4">
        <f t="shared" si="28"/>
        <v>0.86363636363636365</v>
      </c>
      <c r="J340" s="3">
        <f t="shared" si="29"/>
        <v>0.95</v>
      </c>
      <c r="K340" s="4">
        <f t="shared" si="30"/>
        <v>0.97164556962025317</v>
      </c>
      <c r="L340" s="4">
        <f t="shared" si="31"/>
        <v>0.79719102416570775</v>
      </c>
    </row>
    <row r="341" spans="1:12" x14ac:dyDescent="0.3">
      <c r="A341" s="2">
        <v>45628</v>
      </c>
      <c r="B341" s="3">
        <v>24</v>
      </c>
      <c r="C341" s="3">
        <v>1</v>
      </c>
      <c r="D341" s="3">
        <v>3</v>
      </c>
      <c r="E341" s="3">
        <v>100</v>
      </c>
      <c r="F341">
        <v>99</v>
      </c>
      <c r="G341">
        <v>1983</v>
      </c>
      <c r="H341">
        <v>43</v>
      </c>
      <c r="I341" s="4">
        <f t="shared" si="28"/>
        <v>0.86956521739130432</v>
      </c>
      <c r="J341" s="3">
        <f t="shared" si="29"/>
        <v>0.99</v>
      </c>
      <c r="K341" s="4">
        <f t="shared" si="30"/>
        <v>0.97831568330811902</v>
      </c>
      <c r="L341" s="4">
        <f t="shared" si="31"/>
        <v>0.84220219693481546</v>
      </c>
    </row>
    <row r="342" spans="1:12" x14ac:dyDescent="0.3">
      <c r="A342" s="2">
        <v>45629</v>
      </c>
      <c r="B342" s="3">
        <v>24</v>
      </c>
      <c r="C342" s="3">
        <v>2</v>
      </c>
      <c r="D342" s="3">
        <v>1</v>
      </c>
      <c r="E342" s="3">
        <v>100</v>
      </c>
      <c r="F342">
        <v>96</v>
      </c>
      <c r="G342">
        <v>2266</v>
      </c>
      <c r="H342">
        <v>37</v>
      </c>
      <c r="I342" s="4">
        <f t="shared" si="28"/>
        <v>0.95454545454545459</v>
      </c>
      <c r="J342" s="3">
        <f t="shared" si="29"/>
        <v>0.96</v>
      </c>
      <c r="K342" s="4">
        <f t="shared" si="30"/>
        <v>0.98367166813768758</v>
      </c>
      <c r="L342" s="4">
        <f t="shared" si="31"/>
        <v>0.90140094680253557</v>
      </c>
    </row>
    <row r="343" spans="1:12" x14ac:dyDescent="0.3">
      <c r="A343" s="2">
        <v>45630</v>
      </c>
      <c r="B343" s="3">
        <v>24</v>
      </c>
      <c r="C343" s="3">
        <v>1</v>
      </c>
      <c r="D343" s="3">
        <v>3</v>
      </c>
      <c r="E343" s="3">
        <v>100</v>
      </c>
      <c r="F343">
        <v>90</v>
      </c>
      <c r="G343">
        <v>1713</v>
      </c>
      <c r="H343">
        <v>37</v>
      </c>
      <c r="I343" s="4">
        <f t="shared" si="28"/>
        <v>0.86956521739130432</v>
      </c>
      <c r="J343" s="3">
        <f t="shared" si="29"/>
        <v>0.9</v>
      </c>
      <c r="K343" s="4">
        <f t="shared" si="30"/>
        <v>0.9784004670169294</v>
      </c>
      <c r="L343" s="4">
        <f t="shared" si="31"/>
        <v>0.76570471331759693</v>
      </c>
    </row>
    <row r="344" spans="1:12" x14ac:dyDescent="0.3">
      <c r="A344" s="2">
        <v>45631</v>
      </c>
      <c r="B344" s="3">
        <v>24</v>
      </c>
      <c r="C344" s="3">
        <v>2</v>
      </c>
      <c r="D344" s="3">
        <v>3</v>
      </c>
      <c r="E344" s="3">
        <v>100</v>
      </c>
      <c r="F344">
        <v>80</v>
      </c>
      <c r="G344">
        <v>2267</v>
      </c>
      <c r="H344">
        <v>36</v>
      </c>
      <c r="I344" s="4">
        <f t="shared" si="28"/>
        <v>0.86363636363636365</v>
      </c>
      <c r="J344" s="3">
        <f t="shared" si="29"/>
        <v>0.8</v>
      </c>
      <c r="K344" s="4">
        <f t="shared" si="30"/>
        <v>0.98411998235553599</v>
      </c>
      <c r="L344" s="4">
        <f t="shared" si="31"/>
        <v>0.67993744235473397</v>
      </c>
    </row>
    <row r="345" spans="1:12" x14ac:dyDescent="0.3">
      <c r="A345" s="2">
        <v>45632</v>
      </c>
      <c r="B345" s="3">
        <v>24</v>
      </c>
      <c r="C345" s="3">
        <v>1</v>
      </c>
      <c r="D345" s="3">
        <v>3</v>
      </c>
      <c r="E345" s="3">
        <v>100</v>
      </c>
      <c r="F345">
        <v>81</v>
      </c>
      <c r="G345">
        <v>1703</v>
      </c>
      <c r="H345">
        <v>57</v>
      </c>
      <c r="I345" s="4">
        <f t="shared" si="28"/>
        <v>0.86956521739130432</v>
      </c>
      <c r="J345" s="3">
        <f t="shared" si="29"/>
        <v>0.81</v>
      </c>
      <c r="K345" s="4">
        <f t="shared" si="30"/>
        <v>0.96652965355255427</v>
      </c>
      <c r="L345" s="4">
        <f t="shared" si="31"/>
        <v>0.68077306032832086</v>
      </c>
    </row>
    <row r="346" spans="1:12" x14ac:dyDescent="0.3">
      <c r="A346" s="2">
        <v>45633</v>
      </c>
      <c r="B346" s="3">
        <v>24</v>
      </c>
      <c r="C346" s="3">
        <v>2</v>
      </c>
      <c r="D346" s="3">
        <v>3</v>
      </c>
      <c r="E346" s="3">
        <v>100</v>
      </c>
      <c r="F346">
        <v>82</v>
      </c>
      <c r="G346">
        <v>1709</v>
      </c>
      <c r="H346">
        <v>40</v>
      </c>
      <c r="I346" s="4">
        <f t="shared" si="28"/>
        <v>0.86363636363636365</v>
      </c>
      <c r="J346" s="3">
        <f t="shared" si="29"/>
        <v>0.82</v>
      </c>
      <c r="K346" s="4">
        <f t="shared" si="30"/>
        <v>0.97659449970743128</v>
      </c>
      <c r="L346" s="4">
        <f t="shared" si="31"/>
        <v>0.69160646842917173</v>
      </c>
    </row>
    <row r="347" spans="1:12" x14ac:dyDescent="0.3">
      <c r="A347" s="2">
        <v>45634</v>
      </c>
      <c r="B347" s="3">
        <v>24</v>
      </c>
      <c r="C347" s="3">
        <v>3</v>
      </c>
      <c r="D347" s="3">
        <v>3</v>
      </c>
      <c r="E347" s="3">
        <v>100</v>
      </c>
      <c r="F347">
        <v>86</v>
      </c>
      <c r="G347">
        <v>1794</v>
      </c>
      <c r="H347">
        <v>37</v>
      </c>
      <c r="I347" s="4">
        <f t="shared" si="28"/>
        <v>0.8571428571428571</v>
      </c>
      <c r="J347" s="3">
        <f t="shared" si="29"/>
        <v>0.86</v>
      </c>
      <c r="K347" s="4">
        <f t="shared" si="30"/>
        <v>0.97937569676700109</v>
      </c>
      <c r="L347" s="4">
        <f t="shared" si="31"/>
        <v>0.72193979933110364</v>
      </c>
    </row>
    <row r="348" spans="1:12" x14ac:dyDescent="0.3">
      <c r="A348" s="2">
        <v>45635</v>
      </c>
      <c r="B348" s="3">
        <v>24</v>
      </c>
      <c r="C348" s="3">
        <v>1</v>
      </c>
      <c r="D348" s="3">
        <v>2</v>
      </c>
      <c r="E348" s="3">
        <v>100</v>
      </c>
      <c r="F348">
        <v>97</v>
      </c>
      <c r="G348">
        <v>1754</v>
      </c>
      <c r="H348">
        <v>40</v>
      </c>
      <c r="I348" s="4">
        <f t="shared" si="28"/>
        <v>0.91304347826086951</v>
      </c>
      <c r="J348" s="3">
        <f t="shared" si="29"/>
        <v>0.97</v>
      </c>
      <c r="K348" s="4">
        <f t="shared" si="30"/>
        <v>0.97719498289623719</v>
      </c>
      <c r="L348" s="4">
        <f t="shared" si="31"/>
        <v>0.86545486093897173</v>
      </c>
    </row>
    <row r="349" spans="1:12" x14ac:dyDescent="0.3">
      <c r="A349" s="2">
        <v>45636</v>
      </c>
      <c r="B349" s="3">
        <v>24</v>
      </c>
      <c r="C349" s="3">
        <v>1</v>
      </c>
      <c r="D349" s="3">
        <v>2</v>
      </c>
      <c r="E349" s="3">
        <v>100</v>
      </c>
      <c r="F349">
        <v>98</v>
      </c>
      <c r="G349">
        <v>2269</v>
      </c>
      <c r="H349">
        <v>21</v>
      </c>
      <c r="I349" s="4">
        <f t="shared" si="28"/>
        <v>0.91304347826086951</v>
      </c>
      <c r="J349" s="3">
        <f t="shared" si="29"/>
        <v>0.98</v>
      </c>
      <c r="K349" s="4">
        <f t="shared" si="30"/>
        <v>0.99074482150727194</v>
      </c>
      <c r="L349" s="4">
        <f t="shared" si="31"/>
        <v>0.88650123593998498</v>
      </c>
    </row>
    <row r="350" spans="1:12" x14ac:dyDescent="0.3">
      <c r="A350" s="2">
        <v>45637</v>
      </c>
      <c r="B350" s="3">
        <v>24</v>
      </c>
      <c r="C350" s="3">
        <v>2</v>
      </c>
      <c r="D350" s="3">
        <v>3</v>
      </c>
      <c r="E350" s="3">
        <v>100</v>
      </c>
      <c r="F350">
        <v>92</v>
      </c>
      <c r="G350">
        <v>1851</v>
      </c>
      <c r="H350">
        <v>44</v>
      </c>
      <c r="I350" s="4">
        <f t="shared" si="28"/>
        <v>0.86363636363636365</v>
      </c>
      <c r="J350" s="3">
        <f t="shared" si="29"/>
        <v>0.92</v>
      </c>
      <c r="K350" s="4">
        <f t="shared" si="30"/>
        <v>0.97622906537007026</v>
      </c>
      <c r="L350" s="4">
        <f t="shared" si="31"/>
        <v>0.77565836648494679</v>
      </c>
    </row>
    <row r="351" spans="1:12" x14ac:dyDescent="0.3">
      <c r="A351" s="2">
        <v>45638</v>
      </c>
      <c r="B351" s="3">
        <v>24</v>
      </c>
      <c r="C351" s="3">
        <v>3</v>
      </c>
      <c r="D351" s="3">
        <v>1</v>
      </c>
      <c r="E351" s="3">
        <v>100</v>
      </c>
      <c r="F351">
        <v>85</v>
      </c>
      <c r="G351">
        <v>1833</v>
      </c>
      <c r="H351">
        <v>21</v>
      </c>
      <c r="I351" s="4">
        <f t="shared" si="28"/>
        <v>0.95238095238095233</v>
      </c>
      <c r="J351" s="3">
        <f t="shared" si="29"/>
        <v>0.85</v>
      </c>
      <c r="K351" s="4">
        <f t="shared" si="30"/>
        <v>0.98854337152209493</v>
      </c>
      <c r="L351" s="4">
        <f t="shared" si="31"/>
        <v>0.80024939599407674</v>
      </c>
    </row>
    <row r="352" spans="1:12" x14ac:dyDescent="0.3">
      <c r="A352" s="2">
        <v>45639</v>
      </c>
      <c r="B352" s="3">
        <v>24</v>
      </c>
      <c r="C352" s="3">
        <v>2</v>
      </c>
      <c r="D352" s="3">
        <v>1</v>
      </c>
      <c r="E352" s="3">
        <v>100</v>
      </c>
      <c r="F352">
        <v>84</v>
      </c>
      <c r="G352">
        <v>1998</v>
      </c>
      <c r="H352">
        <v>38</v>
      </c>
      <c r="I352" s="4">
        <f t="shared" si="28"/>
        <v>0.95454545454545459</v>
      </c>
      <c r="J352" s="3">
        <f t="shared" si="29"/>
        <v>0.84</v>
      </c>
      <c r="K352" s="4">
        <f t="shared" si="30"/>
        <v>0.98098098098098097</v>
      </c>
      <c r="L352" s="4">
        <f t="shared" si="31"/>
        <v>0.78656838656838657</v>
      </c>
    </row>
    <row r="353" spans="1:12" x14ac:dyDescent="0.3">
      <c r="A353" s="2">
        <v>45640</v>
      </c>
      <c r="B353" s="3">
        <v>24</v>
      </c>
      <c r="C353" s="3">
        <v>2</v>
      </c>
      <c r="D353" s="3">
        <v>1</v>
      </c>
      <c r="E353" s="3">
        <v>100</v>
      </c>
      <c r="F353">
        <v>97</v>
      </c>
      <c r="G353">
        <v>2173</v>
      </c>
      <c r="H353">
        <v>35</v>
      </c>
      <c r="I353" s="4">
        <f t="shared" si="28"/>
        <v>0.95454545454545459</v>
      </c>
      <c r="J353" s="3">
        <f t="shared" si="29"/>
        <v>0.97</v>
      </c>
      <c r="K353" s="4">
        <f t="shared" si="30"/>
        <v>0.9838932351587667</v>
      </c>
      <c r="L353" s="4">
        <f t="shared" si="31"/>
        <v>0.91099569091745802</v>
      </c>
    </row>
    <row r="354" spans="1:12" x14ac:dyDescent="0.3">
      <c r="A354" s="2">
        <v>45641</v>
      </c>
      <c r="B354" s="3">
        <v>24</v>
      </c>
      <c r="C354" s="3">
        <v>2</v>
      </c>
      <c r="D354" s="3">
        <v>3</v>
      </c>
      <c r="E354" s="3">
        <v>100</v>
      </c>
      <c r="F354">
        <v>92</v>
      </c>
      <c r="G354">
        <v>1783</v>
      </c>
      <c r="H354">
        <v>49</v>
      </c>
      <c r="I354" s="4">
        <f t="shared" si="28"/>
        <v>0.86363636363636365</v>
      </c>
      <c r="J354" s="3">
        <f t="shared" si="29"/>
        <v>0.92</v>
      </c>
      <c r="K354" s="4">
        <f t="shared" si="30"/>
        <v>0.97251822770611329</v>
      </c>
      <c r="L354" s="4">
        <f t="shared" si="31"/>
        <v>0.77270993728649362</v>
      </c>
    </row>
    <row r="355" spans="1:12" x14ac:dyDescent="0.3">
      <c r="A355" s="2">
        <v>45642</v>
      </c>
      <c r="B355" s="3">
        <v>24</v>
      </c>
      <c r="C355" s="3">
        <v>3</v>
      </c>
      <c r="D355" s="3">
        <v>1</v>
      </c>
      <c r="E355" s="3">
        <v>100</v>
      </c>
      <c r="F355">
        <v>88</v>
      </c>
      <c r="G355">
        <v>1929</v>
      </c>
      <c r="H355">
        <v>24</v>
      </c>
      <c r="I355" s="4">
        <f t="shared" si="28"/>
        <v>0.95238095238095233</v>
      </c>
      <c r="J355" s="3">
        <f t="shared" si="29"/>
        <v>0.88</v>
      </c>
      <c r="K355" s="4">
        <f t="shared" si="30"/>
        <v>0.98755832037325042</v>
      </c>
      <c r="L355" s="4">
        <f t="shared" si="31"/>
        <v>0.82766792564615266</v>
      </c>
    </row>
    <row r="356" spans="1:12" x14ac:dyDescent="0.3">
      <c r="A356" s="2">
        <v>45643</v>
      </c>
      <c r="B356" s="3">
        <v>24</v>
      </c>
      <c r="C356" s="3">
        <v>2</v>
      </c>
      <c r="D356" s="3">
        <v>2</v>
      </c>
      <c r="E356" s="3">
        <v>100</v>
      </c>
      <c r="F356">
        <v>83</v>
      </c>
      <c r="G356">
        <v>1931</v>
      </c>
      <c r="H356">
        <v>35</v>
      </c>
      <c r="I356" s="4">
        <f t="shared" si="28"/>
        <v>0.90909090909090906</v>
      </c>
      <c r="J356" s="3">
        <f t="shared" si="29"/>
        <v>0.83</v>
      </c>
      <c r="K356" s="4">
        <f t="shared" si="30"/>
        <v>0.981874676333506</v>
      </c>
      <c r="L356" s="4">
        <f t="shared" si="31"/>
        <v>0.74086907396073631</v>
      </c>
    </row>
    <row r="357" spans="1:12" x14ac:dyDescent="0.3">
      <c r="A357" s="2">
        <v>45644</v>
      </c>
      <c r="B357" s="3">
        <v>24</v>
      </c>
      <c r="C357" s="3">
        <v>2</v>
      </c>
      <c r="D357" s="3">
        <v>1</v>
      </c>
      <c r="E357" s="3">
        <v>100</v>
      </c>
      <c r="F357">
        <v>97</v>
      </c>
      <c r="G357">
        <v>2133</v>
      </c>
      <c r="H357">
        <v>59</v>
      </c>
      <c r="I357" s="4">
        <f t="shared" si="28"/>
        <v>0.95454545454545459</v>
      </c>
      <c r="J357" s="3">
        <f t="shared" si="29"/>
        <v>0.97</v>
      </c>
      <c r="K357" s="4">
        <f t="shared" si="30"/>
        <v>0.97233942803563056</v>
      </c>
      <c r="L357" s="4">
        <f t="shared" si="31"/>
        <v>0.90029791586753616</v>
      </c>
    </row>
    <row r="358" spans="1:12" x14ac:dyDescent="0.3">
      <c r="A358" s="2">
        <v>45645</v>
      </c>
      <c r="B358" s="3">
        <v>24</v>
      </c>
      <c r="C358" s="3">
        <v>3</v>
      </c>
      <c r="D358" s="3">
        <v>3</v>
      </c>
      <c r="E358" s="3">
        <v>100</v>
      </c>
      <c r="F358">
        <v>86</v>
      </c>
      <c r="G358">
        <v>1816</v>
      </c>
      <c r="H358">
        <v>44</v>
      </c>
      <c r="I358" s="4">
        <f t="shared" si="28"/>
        <v>0.8571428571428571</v>
      </c>
      <c r="J358" s="3">
        <f t="shared" si="29"/>
        <v>0.86</v>
      </c>
      <c r="K358" s="4">
        <f t="shared" si="30"/>
        <v>0.97577092511013219</v>
      </c>
      <c r="L358" s="4">
        <f t="shared" si="31"/>
        <v>0.71928256765261167</v>
      </c>
    </row>
    <row r="359" spans="1:12" x14ac:dyDescent="0.3">
      <c r="A359" s="2">
        <v>45646</v>
      </c>
      <c r="B359" s="3">
        <v>24</v>
      </c>
      <c r="C359" s="3">
        <v>2</v>
      </c>
      <c r="D359" s="3">
        <v>2</v>
      </c>
      <c r="E359" s="3">
        <v>100</v>
      </c>
      <c r="F359">
        <v>100</v>
      </c>
      <c r="G359">
        <v>1925</v>
      </c>
      <c r="H359">
        <v>52</v>
      </c>
      <c r="I359" s="4">
        <f t="shared" si="28"/>
        <v>0.90909090909090906</v>
      </c>
      <c r="J359" s="3">
        <f t="shared" si="29"/>
        <v>1</v>
      </c>
      <c r="K359" s="4">
        <f t="shared" si="30"/>
        <v>0.97298701298701296</v>
      </c>
      <c r="L359" s="4">
        <f t="shared" si="31"/>
        <v>0.88453364817001179</v>
      </c>
    </row>
    <row r="360" spans="1:12" x14ac:dyDescent="0.3">
      <c r="A360" s="2">
        <v>45647</v>
      </c>
      <c r="B360" s="3">
        <v>24</v>
      </c>
      <c r="C360" s="3">
        <v>1</v>
      </c>
      <c r="D360" s="3">
        <v>3</v>
      </c>
      <c r="E360" s="3">
        <v>100</v>
      </c>
      <c r="F360">
        <v>80</v>
      </c>
      <c r="G360">
        <v>2144</v>
      </c>
      <c r="H360">
        <v>44</v>
      </c>
      <c r="I360" s="4">
        <f t="shared" si="28"/>
        <v>0.86956521739130432</v>
      </c>
      <c r="J360" s="3">
        <f t="shared" si="29"/>
        <v>0.8</v>
      </c>
      <c r="K360" s="4">
        <f t="shared" si="30"/>
        <v>0.97947761194029848</v>
      </c>
      <c r="L360" s="4">
        <f t="shared" si="31"/>
        <v>0.68137573004542495</v>
      </c>
    </row>
    <row r="361" spans="1:12" x14ac:dyDescent="0.3">
      <c r="A361" s="2">
        <v>45648</v>
      </c>
      <c r="B361" s="3">
        <v>24</v>
      </c>
      <c r="C361" s="3">
        <v>2</v>
      </c>
      <c r="D361" s="3">
        <v>1</v>
      </c>
      <c r="E361" s="3">
        <v>100</v>
      </c>
      <c r="F361">
        <v>88</v>
      </c>
      <c r="G361">
        <v>2217</v>
      </c>
      <c r="H361">
        <v>33</v>
      </c>
      <c r="I361" s="4">
        <f t="shared" si="28"/>
        <v>0.95454545454545459</v>
      </c>
      <c r="J361" s="3">
        <f t="shared" si="29"/>
        <v>0.88</v>
      </c>
      <c r="K361" s="4">
        <f t="shared" si="30"/>
        <v>0.9851150202976996</v>
      </c>
      <c r="L361" s="4">
        <f t="shared" si="31"/>
        <v>0.82749661705006772</v>
      </c>
    </row>
    <row r="362" spans="1:12" x14ac:dyDescent="0.3">
      <c r="A362" s="2">
        <v>45649</v>
      </c>
      <c r="B362" s="3">
        <v>24</v>
      </c>
      <c r="C362" s="3">
        <v>2</v>
      </c>
      <c r="D362" s="3">
        <v>3</v>
      </c>
      <c r="E362" s="3">
        <v>100</v>
      </c>
      <c r="F362">
        <v>91</v>
      </c>
      <c r="G362">
        <v>1733</v>
      </c>
      <c r="H362">
        <v>20</v>
      </c>
      <c r="I362" s="4">
        <f t="shared" si="28"/>
        <v>0.86363636363636365</v>
      </c>
      <c r="J362" s="3">
        <f t="shared" si="29"/>
        <v>0.91</v>
      </c>
      <c r="K362" s="4">
        <f t="shared" si="30"/>
        <v>0.98845931909982687</v>
      </c>
      <c r="L362" s="4">
        <f t="shared" si="31"/>
        <v>0.77683916487436389</v>
      </c>
    </row>
    <row r="363" spans="1:12" x14ac:dyDescent="0.3">
      <c r="A363" s="2">
        <v>45650</v>
      </c>
      <c r="B363" s="3">
        <v>24</v>
      </c>
      <c r="C363" s="3">
        <v>3</v>
      </c>
      <c r="D363" s="3">
        <v>2</v>
      </c>
      <c r="E363" s="3">
        <v>100</v>
      </c>
      <c r="F363">
        <v>98</v>
      </c>
      <c r="G363">
        <v>2290</v>
      </c>
      <c r="H363">
        <v>58</v>
      </c>
      <c r="I363" s="4">
        <f t="shared" si="28"/>
        <v>0.90476190476190477</v>
      </c>
      <c r="J363" s="3">
        <f t="shared" si="29"/>
        <v>0.98</v>
      </c>
      <c r="K363" s="4">
        <f t="shared" si="30"/>
        <v>0.97467248908296944</v>
      </c>
      <c r="L363" s="4">
        <f t="shared" si="31"/>
        <v>0.86420960698689953</v>
      </c>
    </row>
    <row r="364" spans="1:12" x14ac:dyDescent="0.3">
      <c r="A364" s="2">
        <v>45651</v>
      </c>
      <c r="B364" s="3">
        <v>24</v>
      </c>
      <c r="C364" s="3">
        <v>3</v>
      </c>
      <c r="D364" s="3">
        <v>2</v>
      </c>
      <c r="E364" s="3">
        <v>100</v>
      </c>
      <c r="F364">
        <v>89</v>
      </c>
      <c r="G364">
        <v>1824</v>
      </c>
      <c r="H364">
        <v>45</v>
      </c>
      <c r="I364" s="4">
        <f t="shared" si="28"/>
        <v>0.90476190476190477</v>
      </c>
      <c r="J364" s="3">
        <f t="shared" si="29"/>
        <v>0.89</v>
      </c>
      <c r="K364" s="4">
        <f t="shared" si="30"/>
        <v>0.97532894736842102</v>
      </c>
      <c r="L364" s="4">
        <f t="shared" si="31"/>
        <v>0.78537202380952387</v>
      </c>
    </row>
    <row r="365" spans="1:12" x14ac:dyDescent="0.3">
      <c r="A365" s="2">
        <v>45652</v>
      </c>
      <c r="B365" s="3">
        <v>24</v>
      </c>
      <c r="C365" s="3">
        <v>1</v>
      </c>
      <c r="D365" s="3">
        <v>2</v>
      </c>
      <c r="E365" s="3">
        <v>100</v>
      </c>
      <c r="F365">
        <v>88</v>
      </c>
      <c r="G365">
        <v>1861</v>
      </c>
      <c r="H365">
        <v>32</v>
      </c>
      <c r="I365" s="4">
        <f t="shared" si="28"/>
        <v>0.91304347826086951</v>
      </c>
      <c r="J365" s="3">
        <f t="shared" si="29"/>
        <v>0.88</v>
      </c>
      <c r="K365" s="4">
        <f t="shared" si="30"/>
        <v>0.98280494357872117</v>
      </c>
      <c r="L365" s="4">
        <f t="shared" si="31"/>
        <v>0.78966240684064204</v>
      </c>
    </row>
    <row r="366" spans="1:12" x14ac:dyDescent="0.3">
      <c r="A366" s="2">
        <v>45653</v>
      </c>
      <c r="B366" s="3">
        <v>24</v>
      </c>
      <c r="C366" s="3">
        <v>3</v>
      </c>
      <c r="D366" s="3">
        <v>2</v>
      </c>
      <c r="E366" s="3">
        <v>100</v>
      </c>
      <c r="F366">
        <v>84</v>
      </c>
      <c r="G366">
        <v>1933</v>
      </c>
      <c r="H366">
        <v>36</v>
      </c>
      <c r="I366" s="4">
        <f t="shared" si="28"/>
        <v>0.90476190476190477</v>
      </c>
      <c r="J366" s="3">
        <f t="shared" si="29"/>
        <v>0.84</v>
      </c>
      <c r="K366" s="4">
        <f t="shared" si="30"/>
        <v>0.98137609932747027</v>
      </c>
      <c r="L366" s="4">
        <f t="shared" si="31"/>
        <v>0.7458458354888774</v>
      </c>
    </row>
    <row r="367" spans="1:12" x14ac:dyDescent="0.3">
      <c r="A367" s="2">
        <v>45654</v>
      </c>
      <c r="B367" s="3">
        <v>24</v>
      </c>
      <c r="C367" s="3">
        <v>3</v>
      </c>
      <c r="D367" s="3">
        <v>1</v>
      </c>
      <c r="E367" s="3">
        <v>100</v>
      </c>
      <c r="F367">
        <v>84</v>
      </c>
      <c r="G367">
        <v>2013</v>
      </c>
      <c r="H367">
        <v>23</v>
      </c>
      <c r="I367" s="4">
        <f t="shared" si="28"/>
        <v>0.95238095238095233</v>
      </c>
      <c r="J367" s="3">
        <f t="shared" si="29"/>
        <v>0.84</v>
      </c>
      <c r="K367" s="4">
        <f t="shared" si="30"/>
        <v>0.98857426726279185</v>
      </c>
      <c r="L367" s="4">
        <f t="shared" si="31"/>
        <v>0.79085941381023339</v>
      </c>
    </row>
    <row r="368" spans="1:12" x14ac:dyDescent="0.3">
      <c r="A368" s="2">
        <v>45655</v>
      </c>
      <c r="B368" s="3">
        <v>24</v>
      </c>
      <c r="C368" s="3">
        <v>2</v>
      </c>
      <c r="D368" s="3">
        <v>1</v>
      </c>
      <c r="E368" s="3">
        <v>100</v>
      </c>
      <c r="F368">
        <v>95</v>
      </c>
      <c r="G368">
        <v>1867</v>
      </c>
      <c r="H368">
        <v>40</v>
      </c>
      <c r="I368" s="4">
        <f t="shared" si="28"/>
        <v>0.95454545454545459</v>
      </c>
      <c r="J368" s="3">
        <f t="shared" si="29"/>
        <v>0.95</v>
      </c>
      <c r="K368" s="4">
        <f t="shared" si="30"/>
        <v>0.97857525441885373</v>
      </c>
      <c r="L368" s="4">
        <f t="shared" si="31"/>
        <v>0.88738983298436969</v>
      </c>
    </row>
    <row r="369" spans="1:12" x14ac:dyDescent="0.3">
      <c r="A369" s="2">
        <v>45656</v>
      </c>
      <c r="B369" s="3">
        <v>24</v>
      </c>
      <c r="C369" s="3">
        <v>3</v>
      </c>
      <c r="D369" s="3">
        <v>1</v>
      </c>
      <c r="E369" s="3">
        <v>100</v>
      </c>
      <c r="F369">
        <v>84</v>
      </c>
      <c r="G369">
        <v>2173</v>
      </c>
      <c r="H369">
        <v>35</v>
      </c>
      <c r="I369" s="4">
        <f t="shared" si="28"/>
        <v>0.95238095238095233</v>
      </c>
      <c r="J369" s="3">
        <f t="shared" si="29"/>
        <v>0.84</v>
      </c>
      <c r="K369" s="4">
        <f t="shared" si="30"/>
        <v>0.9838932351587667</v>
      </c>
      <c r="L369" s="4">
        <f t="shared" si="31"/>
        <v>0.78711458812701329</v>
      </c>
    </row>
    <row r="370" spans="1:12" x14ac:dyDescent="0.3">
      <c r="A370" s="2">
        <v>45657</v>
      </c>
      <c r="B370" s="3">
        <v>24</v>
      </c>
      <c r="C370" s="3">
        <v>3</v>
      </c>
      <c r="D370" s="3">
        <v>2</v>
      </c>
      <c r="E370" s="3">
        <v>100</v>
      </c>
      <c r="F370">
        <v>82</v>
      </c>
      <c r="G370">
        <v>2201</v>
      </c>
      <c r="H370">
        <v>25</v>
      </c>
      <c r="I370" s="4">
        <f t="shared" si="28"/>
        <v>0.90476190476190477</v>
      </c>
      <c r="J370" s="3">
        <f t="shared" si="29"/>
        <v>0.82</v>
      </c>
      <c r="K370" s="4">
        <f t="shared" si="30"/>
        <v>0.98864152657882776</v>
      </c>
      <c r="L370" s="4">
        <f t="shared" si="31"/>
        <v>0.73347785638562546</v>
      </c>
    </row>
    <row r="371" spans="1:12" x14ac:dyDescent="0.3">
      <c r="A371" s="2"/>
      <c r="B371" s="3"/>
      <c r="C371" s="3"/>
      <c r="D371" s="3"/>
      <c r="E371" s="3"/>
      <c r="I371" s="4"/>
      <c r="J371" s="3"/>
      <c r="K371" s="4"/>
      <c r="L371" s="4"/>
    </row>
    <row r="372" spans="1:12" x14ac:dyDescent="0.3">
      <c r="A372" s="2"/>
      <c r="B372" s="3"/>
      <c r="C372" s="3"/>
      <c r="D372" s="3"/>
      <c r="E372" s="3"/>
      <c r="I372" s="4"/>
      <c r="J372" s="3"/>
      <c r="K372" s="4"/>
      <c r="L372" s="4"/>
    </row>
    <row r="373" spans="1:12" x14ac:dyDescent="0.3">
      <c r="A373" s="2"/>
      <c r="B373" s="3"/>
      <c r="C373" s="3"/>
      <c r="D373" s="3"/>
      <c r="E373" s="3"/>
      <c r="I373" s="4"/>
      <c r="J373" s="3"/>
      <c r="K373" s="4"/>
      <c r="L373" s="4"/>
    </row>
    <row r="374" spans="1:12" x14ac:dyDescent="0.3">
      <c r="A374" s="2"/>
      <c r="B374" s="3"/>
      <c r="C374" s="3"/>
      <c r="D374" s="3"/>
      <c r="E374" s="3"/>
      <c r="I374" s="4"/>
      <c r="J374" s="3"/>
      <c r="K374" s="4"/>
      <c r="L374" s="4"/>
    </row>
    <row r="375" spans="1:12" x14ac:dyDescent="0.3">
      <c r="A375" s="2"/>
      <c r="B375" s="3"/>
      <c r="C375" s="3"/>
      <c r="D375" s="3"/>
      <c r="E375" s="3"/>
      <c r="I375" s="4"/>
      <c r="J375" s="3"/>
      <c r="K375" s="4"/>
      <c r="L375" s="4"/>
    </row>
    <row r="376" spans="1:12" x14ac:dyDescent="0.3">
      <c r="A376" s="2"/>
      <c r="B376" s="3"/>
      <c r="C376" s="3"/>
      <c r="D376" s="3"/>
      <c r="E376" s="3"/>
      <c r="I376" s="4"/>
      <c r="J376" s="3"/>
      <c r="K376" s="4"/>
      <c r="L376" s="4"/>
    </row>
    <row r="377" spans="1:12" x14ac:dyDescent="0.3">
      <c r="A377" s="2"/>
      <c r="B377" s="3"/>
      <c r="C377" s="3"/>
      <c r="D377" s="3"/>
      <c r="E377" s="3"/>
      <c r="I377" s="4"/>
      <c r="J377" s="3"/>
      <c r="K377" s="4"/>
      <c r="L377" s="4"/>
    </row>
    <row r="378" spans="1:12" x14ac:dyDescent="0.3">
      <c r="A378" s="2"/>
      <c r="B378" s="3"/>
      <c r="C378" s="3"/>
      <c r="D378" s="3"/>
      <c r="E378" s="3"/>
      <c r="I378" s="4"/>
      <c r="J378" s="3"/>
      <c r="K378" s="4"/>
      <c r="L378" s="4"/>
    </row>
    <row r="379" spans="1:12" x14ac:dyDescent="0.3">
      <c r="A379" s="2"/>
      <c r="B379" s="3"/>
      <c r="C379" s="3"/>
      <c r="D379" s="3"/>
      <c r="E379" s="3"/>
      <c r="I379" s="4"/>
      <c r="J379" s="3"/>
      <c r="K379" s="4"/>
      <c r="L379" s="4"/>
    </row>
    <row r="380" spans="1:12" x14ac:dyDescent="0.3">
      <c r="A380" s="2"/>
      <c r="B380" s="3"/>
      <c r="C380" s="3"/>
      <c r="D380" s="3"/>
      <c r="E380" s="3"/>
      <c r="I380" s="4"/>
      <c r="J380" s="3"/>
      <c r="K380" s="4"/>
      <c r="L380" s="4"/>
    </row>
    <row r="381" spans="1:12" x14ac:dyDescent="0.3">
      <c r="A381" s="2"/>
      <c r="B381" s="3"/>
      <c r="C381" s="3"/>
      <c r="D381" s="3"/>
      <c r="E381" s="3"/>
      <c r="I381" s="4"/>
      <c r="J381" s="3"/>
      <c r="K381" s="4"/>
      <c r="L381" s="4"/>
    </row>
    <row r="382" spans="1:12" x14ac:dyDescent="0.3">
      <c r="A382" s="2"/>
      <c r="B382" s="3"/>
      <c r="C382" s="3"/>
      <c r="D382" s="3"/>
      <c r="E382" s="3"/>
      <c r="I382" s="4"/>
      <c r="J382" s="3"/>
      <c r="K382" s="4"/>
      <c r="L382" s="4"/>
    </row>
    <row r="383" spans="1:12" x14ac:dyDescent="0.3">
      <c r="A383" s="2"/>
      <c r="B383" s="3"/>
      <c r="C383" s="3"/>
      <c r="D383" s="3"/>
      <c r="E383" s="3"/>
      <c r="I383" s="4"/>
      <c r="J383" s="3"/>
      <c r="K383" s="4"/>
      <c r="L383" s="4"/>
    </row>
    <row r="384" spans="1:12" x14ac:dyDescent="0.3">
      <c r="A384" s="2"/>
      <c r="B384" s="3"/>
      <c r="C384" s="3"/>
      <c r="D384" s="3"/>
      <c r="E384" s="3"/>
      <c r="I384" s="4"/>
      <c r="J384" s="3"/>
      <c r="K384" s="4"/>
      <c r="L384" s="4"/>
    </row>
    <row r="385" spans="1:12" x14ac:dyDescent="0.3">
      <c r="A385" s="2"/>
      <c r="B385" s="3"/>
      <c r="C385" s="3"/>
      <c r="D385" s="3"/>
      <c r="E385" s="3"/>
      <c r="I385" s="4"/>
      <c r="J385" s="3"/>
      <c r="K385" s="4"/>
      <c r="L385" s="4"/>
    </row>
    <row r="386" spans="1:12" x14ac:dyDescent="0.3">
      <c r="A386" s="2"/>
      <c r="B386" s="3"/>
      <c r="C386" s="3"/>
      <c r="D386" s="3"/>
      <c r="E386" s="3"/>
      <c r="I386" s="4"/>
      <c r="J386" s="3"/>
      <c r="K386" s="4"/>
      <c r="L386" s="4"/>
    </row>
    <row r="387" spans="1:12" x14ac:dyDescent="0.3">
      <c r="A387" s="2"/>
      <c r="B387" s="3"/>
      <c r="C387" s="3"/>
      <c r="D387" s="3"/>
      <c r="E387" s="3"/>
      <c r="I387" s="4"/>
      <c r="J387" s="3"/>
      <c r="K387" s="4"/>
      <c r="L387" s="4"/>
    </row>
    <row r="388" spans="1:12" x14ac:dyDescent="0.3">
      <c r="A388" s="2"/>
      <c r="B388" s="3"/>
      <c r="C388" s="3"/>
      <c r="D388" s="3"/>
      <c r="E388" s="3"/>
      <c r="I388" s="4"/>
      <c r="J388" s="3"/>
      <c r="K388" s="4"/>
      <c r="L388" s="4"/>
    </row>
    <row r="389" spans="1:12" x14ac:dyDescent="0.3">
      <c r="A389" s="2"/>
      <c r="B389" s="3"/>
      <c r="C389" s="3"/>
      <c r="D389" s="3"/>
      <c r="E389" s="3"/>
      <c r="I389" s="4"/>
      <c r="J389" s="3"/>
      <c r="K389" s="4"/>
      <c r="L389" s="4"/>
    </row>
    <row r="390" spans="1:12" x14ac:dyDescent="0.3">
      <c r="A390" s="2"/>
      <c r="B390" s="3"/>
      <c r="C390" s="3"/>
      <c r="D390" s="3"/>
      <c r="E390" s="3"/>
      <c r="I390" s="4"/>
      <c r="J390" s="3"/>
      <c r="K390" s="4"/>
      <c r="L390" s="4"/>
    </row>
    <row r="391" spans="1:12" x14ac:dyDescent="0.3">
      <c r="A391" s="2"/>
      <c r="B391" s="3"/>
      <c r="C391" s="3"/>
      <c r="D391" s="3"/>
      <c r="E391" s="3"/>
      <c r="I391" s="4"/>
      <c r="J391" s="3"/>
      <c r="K391" s="4"/>
      <c r="L391" s="4"/>
    </row>
    <row r="392" spans="1:12" x14ac:dyDescent="0.3">
      <c r="A392" s="2"/>
      <c r="B392" s="3"/>
      <c r="C392" s="3"/>
      <c r="D392" s="3"/>
      <c r="E392" s="3"/>
      <c r="I392" s="4"/>
      <c r="J392" s="3"/>
      <c r="K392" s="4"/>
      <c r="L392" s="4"/>
    </row>
    <row r="393" spans="1:12" x14ac:dyDescent="0.3">
      <c r="A393" s="2"/>
      <c r="B393" s="3"/>
      <c r="C393" s="3"/>
      <c r="D393" s="3"/>
      <c r="E393" s="3"/>
      <c r="I393" s="4"/>
      <c r="J393" s="3"/>
      <c r="K393" s="4"/>
      <c r="L393" s="4"/>
    </row>
    <row r="394" spans="1:12" x14ac:dyDescent="0.3">
      <c r="A394" s="2"/>
      <c r="B394" s="3"/>
      <c r="C394" s="3"/>
      <c r="D394" s="3"/>
      <c r="E394" s="3"/>
      <c r="I394" s="4"/>
      <c r="J394" s="3"/>
      <c r="K394" s="4"/>
      <c r="L394" s="4"/>
    </row>
    <row r="395" spans="1:12" x14ac:dyDescent="0.3">
      <c r="A395" s="2"/>
      <c r="B395" s="3"/>
      <c r="C395" s="3"/>
      <c r="D395" s="3"/>
      <c r="E395" s="3"/>
      <c r="I395" s="4"/>
      <c r="J395" s="3"/>
      <c r="K395" s="4"/>
      <c r="L395" s="4"/>
    </row>
    <row r="396" spans="1:12" x14ac:dyDescent="0.3">
      <c r="A396" s="2"/>
      <c r="B396" s="3"/>
      <c r="C396" s="3"/>
      <c r="D396" s="3"/>
      <c r="E396" s="3"/>
      <c r="I396" s="4"/>
      <c r="J396" s="3"/>
      <c r="K396" s="4"/>
      <c r="L396" s="4"/>
    </row>
    <row r="397" spans="1:12" x14ac:dyDescent="0.3">
      <c r="A397" s="2"/>
      <c r="B397" s="3"/>
      <c r="C397" s="3"/>
      <c r="D397" s="3"/>
      <c r="E397" s="3"/>
      <c r="I397" s="4"/>
      <c r="J397" s="3"/>
      <c r="K397" s="4"/>
      <c r="L397" s="4"/>
    </row>
    <row r="398" spans="1:12" x14ac:dyDescent="0.3">
      <c r="A398" s="2"/>
      <c r="B398" s="3"/>
      <c r="C398" s="3"/>
      <c r="D398" s="3"/>
      <c r="E398" s="3"/>
      <c r="I398" s="4"/>
      <c r="J398" s="3"/>
      <c r="K398" s="4"/>
      <c r="L398" s="4"/>
    </row>
    <row r="399" spans="1:12" x14ac:dyDescent="0.3">
      <c r="A399" s="2"/>
      <c r="B399" s="3"/>
      <c r="C399" s="3"/>
      <c r="D399" s="3"/>
      <c r="E399" s="3"/>
      <c r="I399" s="4"/>
      <c r="J399" s="3"/>
      <c r="K399" s="4"/>
      <c r="L399" s="4"/>
    </row>
    <row r="400" spans="1:12" x14ac:dyDescent="0.3">
      <c r="A400" s="2"/>
      <c r="B400" s="3"/>
      <c r="C400" s="3"/>
      <c r="D400" s="3"/>
      <c r="E400" s="3"/>
      <c r="I400" s="4"/>
      <c r="J400" s="3"/>
      <c r="K400" s="4"/>
      <c r="L400" s="4"/>
    </row>
    <row r="401" spans="1:12" x14ac:dyDescent="0.3">
      <c r="A401" s="2"/>
      <c r="B401" s="3"/>
      <c r="C401" s="3"/>
      <c r="D401" s="3"/>
      <c r="E401" s="3"/>
      <c r="I401" s="4"/>
      <c r="J401" s="3"/>
      <c r="K401" s="4"/>
      <c r="L401" s="4"/>
    </row>
    <row r="402" spans="1:12" x14ac:dyDescent="0.3">
      <c r="A402" s="2"/>
      <c r="B402" s="3"/>
      <c r="C402" s="3"/>
      <c r="D402" s="3"/>
      <c r="E402" s="3"/>
      <c r="I402" s="4"/>
      <c r="J402" s="3"/>
      <c r="K402" s="4"/>
      <c r="L402" s="4"/>
    </row>
    <row r="403" spans="1:12" x14ac:dyDescent="0.3">
      <c r="A403" s="2"/>
      <c r="B403" s="3"/>
      <c r="C403" s="3"/>
      <c r="D403" s="3"/>
      <c r="E403" s="3"/>
      <c r="I403" s="4"/>
      <c r="J403" s="3"/>
      <c r="K403" s="4"/>
      <c r="L403" s="4"/>
    </row>
    <row r="404" spans="1:12" x14ac:dyDescent="0.3">
      <c r="A404" s="2"/>
      <c r="B404" s="3"/>
      <c r="C404" s="3"/>
      <c r="D404" s="3"/>
      <c r="E404" s="3"/>
      <c r="I404" s="4"/>
      <c r="J404" s="3"/>
      <c r="K404" s="4"/>
      <c r="L404" s="4"/>
    </row>
    <row r="405" spans="1:12" x14ac:dyDescent="0.3">
      <c r="A405" s="2"/>
      <c r="B405" s="3"/>
      <c r="C405" s="3"/>
      <c r="D405" s="3"/>
      <c r="E405" s="3"/>
      <c r="I405" s="4"/>
      <c r="J405" s="3"/>
      <c r="K405" s="4"/>
      <c r="L405" s="4"/>
    </row>
    <row r="406" spans="1:12" x14ac:dyDescent="0.3">
      <c r="A406" s="2"/>
      <c r="B406" s="3"/>
      <c r="C406" s="3"/>
      <c r="D406" s="3"/>
      <c r="E406" s="3"/>
      <c r="I406" s="4"/>
      <c r="J406" s="3"/>
      <c r="K406" s="4"/>
      <c r="L406" s="4"/>
    </row>
    <row r="407" spans="1:12" x14ac:dyDescent="0.3">
      <c r="A407" s="2"/>
      <c r="B407" s="3"/>
      <c r="C407" s="3"/>
      <c r="D407" s="3"/>
      <c r="E407" s="3"/>
      <c r="I407" s="4"/>
      <c r="J407" s="3"/>
      <c r="K407" s="4"/>
      <c r="L407" s="4"/>
    </row>
    <row r="408" spans="1:12" x14ac:dyDescent="0.3">
      <c r="A408" s="2"/>
      <c r="B408" s="3"/>
      <c r="C408" s="3"/>
      <c r="D408" s="3"/>
      <c r="E408" s="3"/>
      <c r="I408" s="4"/>
      <c r="J408" s="3"/>
      <c r="K408" s="4"/>
      <c r="L408" s="4"/>
    </row>
    <row r="409" spans="1:12" x14ac:dyDescent="0.3">
      <c r="A409" s="2"/>
      <c r="B409" s="3"/>
      <c r="C409" s="3"/>
      <c r="D409" s="3"/>
      <c r="E409" s="3"/>
      <c r="I409" s="4"/>
      <c r="J409" s="3"/>
      <c r="K409" s="4"/>
      <c r="L409" s="4"/>
    </row>
    <row r="410" spans="1:12" x14ac:dyDescent="0.3">
      <c r="A410" s="2"/>
      <c r="B410" s="3"/>
      <c r="C410" s="3"/>
      <c r="D410" s="3"/>
      <c r="E410" s="3"/>
      <c r="I410" s="4"/>
      <c r="J410" s="3"/>
      <c r="K410" s="4"/>
      <c r="L410" s="4"/>
    </row>
    <row r="411" spans="1:12" x14ac:dyDescent="0.3">
      <c r="A411" s="2"/>
      <c r="B411" s="3"/>
      <c r="C411" s="3"/>
      <c r="D411" s="3"/>
      <c r="E411" s="3"/>
      <c r="I411" s="4"/>
      <c r="J411" s="3"/>
      <c r="K411" s="4"/>
      <c r="L411" s="4"/>
    </row>
    <row r="412" spans="1:12" x14ac:dyDescent="0.3">
      <c r="A412" s="2"/>
      <c r="B412" s="3"/>
      <c r="C412" s="3"/>
      <c r="D412" s="3"/>
      <c r="E412" s="3"/>
      <c r="I412" s="4"/>
      <c r="J412" s="3"/>
      <c r="K412" s="4"/>
      <c r="L412" s="4"/>
    </row>
    <row r="413" spans="1:12" x14ac:dyDescent="0.3">
      <c r="A413" s="2"/>
      <c r="B413" s="3"/>
      <c r="C413" s="3"/>
      <c r="D413" s="3"/>
      <c r="E413" s="3"/>
      <c r="I413" s="4"/>
      <c r="J413" s="3"/>
      <c r="K413" s="4"/>
      <c r="L413" s="4"/>
    </row>
    <row r="414" spans="1:12" x14ac:dyDescent="0.3">
      <c r="A414" s="2"/>
      <c r="B414" s="3"/>
      <c r="C414" s="3"/>
      <c r="D414" s="3"/>
      <c r="E414" s="3"/>
      <c r="I414" s="4"/>
      <c r="J414" s="3"/>
      <c r="K414" s="4"/>
      <c r="L414" s="4"/>
    </row>
    <row r="415" spans="1:12" x14ac:dyDescent="0.3">
      <c r="A415" s="2"/>
      <c r="B415" s="3"/>
      <c r="C415" s="3"/>
      <c r="D415" s="3"/>
      <c r="E415" s="3"/>
      <c r="I415" s="4"/>
      <c r="J415" s="3"/>
      <c r="K415" s="4"/>
      <c r="L415" s="4"/>
    </row>
    <row r="416" spans="1:12" x14ac:dyDescent="0.3">
      <c r="A416" s="2"/>
      <c r="B416" s="3"/>
      <c r="C416" s="3"/>
      <c r="D416" s="3"/>
      <c r="E416" s="3"/>
      <c r="I416" s="4"/>
      <c r="J416" s="3"/>
      <c r="K416" s="4"/>
      <c r="L416" s="4"/>
    </row>
  </sheetData>
  <mergeCells count="5">
    <mergeCell ref="N7:O7"/>
    <mergeCell ref="N8:O8"/>
    <mergeCell ref="N9:O9"/>
    <mergeCell ref="N10:O10"/>
    <mergeCell ref="A1:M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EA72-6A17-4954-BF70-8994783F6666}">
  <dimension ref="A1:N373"/>
  <sheetViews>
    <sheetView workbookViewId="0">
      <selection activeCell="G8" sqref="G8"/>
    </sheetView>
  </sheetViews>
  <sheetFormatPr baseColWidth="10" defaultRowHeight="14.4" x14ac:dyDescent="0.3"/>
  <sheetData>
    <row r="1" spans="1:14" ht="23.4" x14ac:dyDescent="0.45">
      <c r="A1" s="10" t="s">
        <v>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4" ht="23.4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4" ht="23.4" x14ac:dyDescent="0.45">
      <c r="A3" s="7"/>
      <c r="B3" s="8" t="s">
        <v>1</v>
      </c>
      <c r="D3" s="7"/>
      <c r="E3" s="7"/>
      <c r="F3" s="6"/>
      <c r="G3" s="3">
        <v>24</v>
      </c>
      <c r="H3" s="6"/>
      <c r="I3" s="6"/>
      <c r="J3" s="6"/>
      <c r="K3" s="6"/>
      <c r="L3" s="6"/>
      <c r="M3" s="6"/>
    </row>
    <row r="4" spans="1:14" ht="23.4" x14ac:dyDescent="0.45">
      <c r="A4" s="7"/>
      <c r="B4" s="8" t="s">
        <v>4</v>
      </c>
      <c r="D4" s="7"/>
      <c r="E4" s="7"/>
      <c r="F4" s="6"/>
      <c r="G4" s="3">
        <v>100</v>
      </c>
      <c r="H4" s="6"/>
      <c r="I4" s="6"/>
      <c r="J4" s="6"/>
      <c r="K4" s="6"/>
      <c r="L4" s="6"/>
      <c r="M4" s="6"/>
    </row>
    <row r="5" spans="1:14" ht="23.4" x14ac:dyDescent="0.4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4" ht="23.4" x14ac:dyDescent="0.4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4" ht="72" x14ac:dyDescent="0.3">
      <c r="A7" s="1" t="s">
        <v>0</v>
      </c>
      <c r="B7" s="1" t="s">
        <v>2</v>
      </c>
      <c r="C7" s="1" t="s">
        <v>3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</row>
    <row r="8" spans="1:14" x14ac:dyDescent="0.3">
      <c r="A8" s="2">
        <v>45292</v>
      </c>
      <c r="B8" s="3">
        <v>3</v>
      </c>
      <c r="C8" s="3">
        <v>3</v>
      </c>
      <c r="D8" s="3">
        <v>90</v>
      </c>
      <c r="E8" s="3">
        <v>2000</v>
      </c>
      <c r="F8" s="3">
        <v>50</v>
      </c>
      <c r="G8" s="4">
        <f t="shared" ref="G8:G71" si="0">($G$3-B8-C8)/($G$3-B8)</f>
        <v>0.8571428571428571</v>
      </c>
      <c r="H8" s="3">
        <f>D8/$G$4</f>
        <v>0.9</v>
      </c>
      <c r="I8" s="4">
        <f>(E8-F8)/E8</f>
        <v>0.97499999999999998</v>
      </c>
      <c r="J8" s="4">
        <f>G8*H8*I8</f>
        <v>0.752142857142857</v>
      </c>
    </row>
    <row r="9" spans="1:14" x14ac:dyDescent="0.3">
      <c r="A9" s="2">
        <v>45293</v>
      </c>
      <c r="B9" s="3">
        <v>3</v>
      </c>
      <c r="C9" s="3">
        <v>1</v>
      </c>
      <c r="D9" s="3">
        <v>85</v>
      </c>
      <c r="E9" s="3">
        <v>1800</v>
      </c>
      <c r="F9" s="3">
        <v>40</v>
      </c>
      <c r="G9" s="4">
        <f t="shared" si="0"/>
        <v>0.95238095238095233</v>
      </c>
      <c r="H9" s="3">
        <f t="shared" ref="H9:H72" si="1">D9/$G$4</f>
        <v>0.85</v>
      </c>
      <c r="I9" s="4">
        <f t="shared" ref="I9:I72" si="2">(E9-F9)/E9</f>
        <v>0.97777777777777775</v>
      </c>
      <c r="J9" s="4">
        <f t="shared" ref="J9:J72" si="3">G9*H9*I9</f>
        <v>0.79153439153439142</v>
      </c>
      <c r="L9" s="9" t="s">
        <v>13</v>
      </c>
      <c r="M9" s="9"/>
      <c r="N9" s="5" t="s">
        <v>15</v>
      </c>
    </row>
    <row r="10" spans="1:14" x14ac:dyDescent="0.3">
      <c r="A10" s="2">
        <v>45294</v>
      </c>
      <c r="B10" s="3">
        <v>3</v>
      </c>
      <c r="C10" s="3">
        <v>3</v>
      </c>
      <c r="D10" s="3">
        <v>95</v>
      </c>
      <c r="E10" s="3">
        <v>2200</v>
      </c>
      <c r="F10" s="3">
        <v>30</v>
      </c>
      <c r="G10" s="4">
        <f t="shared" si="0"/>
        <v>0.8571428571428571</v>
      </c>
      <c r="H10" s="3">
        <f t="shared" si="1"/>
        <v>0.95</v>
      </c>
      <c r="I10" s="4">
        <f t="shared" si="2"/>
        <v>0.98636363636363633</v>
      </c>
      <c r="J10" s="4">
        <f t="shared" si="3"/>
        <v>0.803181818181818</v>
      </c>
      <c r="L10" s="9" t="s">
        <v>12</v>
      </c>
      <c r="M10" s="9"/>
      <c r="N10" s="5" t="s">
        <v>14</v>
      </c>
    </row>
    <row r="11" spans="1:14" x14ac:dyDescent="0.3">
      <c r="A11" s="2">
        <v>45295</v>
      </c>
      <c r="B11" s="3">
        <v>1</v>
      </c>
      <c r="C11" s="3">
        <v>2</v>
      </c>
      <c r="D11">
        <v>94</v>
      </c>
      <c r="E11">
        <v>1702</v>
      </c>
      <c r="F11">
        <v>57</v>
      </c>
      <c r="G11" s="4">
        <f t="shared" si="0"/>
        <v>0.91304347826086951</v>
      </c>
      <c r="H11" s="3">
        <f>D11/$G$4</f>
        <v>0.94</v>
      </c>
      <c r="I11" s="4">
        <f t="shared" si="2"/>
        <v>0.96650998824911871</v>
      </c>
      <c r="J11" s="4">
        <f t="shared" si="3"/>
        <v>0.82951770295815663</v>
      </c>
      <c r="L11" s="9" t="s">
        <v>16</v>
      </c>
      <c r="M11" s="9"/>
      <c r="N11" s="5" t="s">
        <v>17</v>
      </c>
    </row>
    <row r="12" spans="1:14" x14ac:dyDescent="0.3">
      <c r="A12" s="2">
        <v>45296</v>
      </c>
      <c r="B12" s="3">
        <v>2</v>
      </c>
      <c r="C12" s="3">
        <v>2</v>
      </c>
      <c r="D12">
        <v>81</v>
      </c>
      <c r="E12">
        <v>1879</v>
      </c>
      <c r="F12">
        <v>31</v>
      </c>
      <c r="G12" s="4">
        <f t="shared" si="0"/>
        <v>0.90909090909090906</v>
      </c>
      <c r="H12" s="3">
        <f t="shared" si="1"/>
        <v>0.81</v>
      </c>
      <c r="I12" s="4">
        <f t="shared" si="2"/>
        <v>0.98350186269292172</v>
      </c>
      <c r="J12" s="4">
        <f t="shared" si="3"/>
        <v>0.72421500798296967</v>
      </c>
      <c r="L12" s="9" t="s">
        <v>18</v>
      </c>
      <c r="M12" s="9"/>
      <c r="N12" s="5" t="s">
        <v>19</v>
      </c>
    </row>
    <row r="13" spans="1:14" x14ac:dyDescent="0.3">
      <c r="A13" s="2">
        <v>45297</v>
      </c>
      <c r="B13" s="3">
        <v>1</v>
      </c>
      <c r="C13" s="3">
        <v>1</v>
      </c>
      <c r="D13">
        <v>80</v>
      </c>
      <c r="E13">
        <v>2037</v>
      </c>
      <c r="F13">
        <v>20</v>
      </c>
      <c r="G13" s="4">
        <f t="shared" si="0"/>
        <v>0.95652173913043481</v>
      </c>
      <c r="H13" s="3">
        <f t="shared" si="1"/>
        <v>0.8</v>
      </c>
      <c r="I13" s="4">
        <f t="shared" si="2"/>
        <v>0.99018163966617578</v>
      </c>
      <c r="J13" s="4">
        <f t="shared" si="3"/>
        <v>0.75770421122281284</v>
      </c>
    </row>
    <row r="14" spans="1:14" x14ac:dyDescent="0.3">
      <c r="A14" s="2">
        <v>45298</v>
      </c>
      <c r="B14" s="3">
        <v>1</v>
      </c>
      <c r="C14" s="3">
        <v>2</v>
      </c>
      <c r="D14">
        <v>89</v>
      </c>
      <c r="E14">
        <v>1881</v>
      </c>
      <c r="F14">
        <v>44</v>
      </c>
      <c r="G14" s="4">
        <f t="shared" si="0"/>
        <v>0.91304347826086951</v>
      </c>
      <c r="H14" s="3">
        <f t="shared" si="1"/>
        <v>0.89</v>
      </c>
      <c r="I14" s="4">
        <f t="shared" si="2"/>
        <v>0.97660818713450293</v>
      </c>
      <c r="J14" s="4">
        <f t="shared" si="3"/>
        <v>0.79360030511060253</v>
      </c>
    </row>
    <row r="15" spans="1:14" x14ac:dyDescent="0.3">
      <c r="A15" s="2">
        <v>45299</v>
      </c>
      <c r="B15" s="3">
        <v>3</v>
      </c>
      <c r="C15" s="3">
        <v>3</v>
      </c>
      <c r="D15">
        <v>82</v>
      </c>
      <c r="E15">
        <v>2096</v>
      </c>
      <c r="F15">
        <v>52</v>
      </c>
      <c r="G15" s="4">
        <f t="shared" si="0"/>
        <v>0.8571428571428571</v>
      </c>
      <c r="H15" s="3">
        <f t="shared" si="1"/>
        <v>0.82</v>
      </c>
      <c r="I15" s="4">
        <f t="shared" si="2"/>
        <v>0.97519083969465647</v>
      </c>
      <c r="J15" s="4">
        <f t="shared" si="3"/>
        <v>0.68541984732824413</v>
      </c>
    </row>
    <row r="16" spans="1:14" x14ac:dyDescent="0.3">
      <c r="A16" s="2">
        <v>45300</v>
      </c>
      <c r="B16" s="3">
        <v>2</v>
      </c>
      <c r="C16" s="3">
        <v>3</v>
      </c>
      <c r="D16">
        <v>88</v>
      </c>
      <c r="E16">
        <v>2065</v>
      </c>
      <c r="F16">
        <v>53</v>
      </c>
      <c r="G16" s="4">
        <f t="shared" si="0"/>
        <v>0.86363636363636365</v>
      </c>
      <c r="H16" s="3">
        <f t="shared" si="1"/>
        <v>0.88</v>
      </c>
      <c r="I16" s="4">
        <f t="shared" si="2"/>
        <v>0.97433414043583533</v>
      </c>
      <c r="J16" s="4">
        <f t="shared" si="3"/>
        <v>0.74049394673123481</v>
      </c>
    </row>
    <row r="17" spans="1:10" x14ac:dyDescent="0.3">
      <c r="A17" s="2">
        <v>45301</v>
      </c>
      <c r="B17" s="3">
        <v>1</v>
      </c>
      <c r="C17" s="3">
        <v>2</v>
      </c>
      <c r="D17">
        <v>90</v>
      </c>
      <c r="E17">
        <v>1961</v>
      </c>
      <c r="F17">
        <v>58</v>
      </c>
      <c r="G17" s="4">
        <f t="shared" si="0"/>
        <v>0.91304347826086951</v>
      </c>
      <c r="H17" s="3">
        <f t="shared" si="1"/>
        <v>0.9</v>
      </c>
      <c r="I17" s="4">
        <f t="shared" si="2"/>
        <v>0.97042325344212133</v>
      </c>
      <c r="J17" s="4">
        <f t="shared" si="3"/>
        <v>0.79743476043722139</v>
      </c>
    </row>
    <row r="18" spans="1:10" x14ac:dyDescent="0.3">
      <c r="A18" s="2">
        <v>45302</v>
      </c>
      <c r="B18" s="3">
        <v>3</v>
      </c>
      <c r="C18" s="3">
        <v>2</v>
      </c>
      <c r="D18">
        <v>90</v>
      </c>
      <c r="E18">
        <v>1913</v>
      </c>
      <c r="F18">
        <v>35</v>
      </c>
      <c r="G18" s="4">
        <f t="shared" si="0"/>
        <v>0.90476190476190477</v>
      </c>
      <c r="H18" s="3">
        <f t="shared" si="1"/>
        <v>0.9</v>
      </c>
      <c r="I18" s="4">
        <f t="shared" si="2"/>
        <v>0.98170412963930997</v>
      </c>
      <c r="J18" s="4">
        <f t="shared" si="3"/>
        <v>0.79938764842058097</v>
      </c>
    </row>
    <row r="19" spans="1:10" x14ac:dyDescent="0.3">
      <c r="A19" s="2">
        <v>45303</v>
      </c>
      <c r="B19" s="3">
        <v>1</v>
      </c>
      <c r="C19" s="3">
        <v>1</v>
      </c>
      <c r="D19">
        <v>89</v>
      </c>
      <c r="E19">
        <v>2239</v>
      </c>
      <c r="F19">
        <v>39</v>
      </c>
      <c r="G19" s="4">
        <f t="shared" si="0"/>
        <v>0.95652173913043481</v>
      </c>
      <c r="H19" s="3">
        <f t="shared" si="1"/>
        <v>0.89</v>
      </c>
      <c r="I19" s="4">
        <f t="shared" si="2"/>
        <v>0.98258150960250112</v>
      </c>
      <c r="J19" s="4">
        <f t="shared" si="3"/>
        <v>0.83647591121812925</v>
      </c>
    </row>
    <row r="20" spans="1:10" x14ac:dyDescent="0.3">
      <c r="A20" s="2">
        <v>45304</v>
      </c>
      <c r="B20" s="3">
        <v>2</v>
      </c>
      <c r="C20" s="3">
        <v>3</v>
      </c>
      <c r="D20">
        <v>85</v>
      </c>
      <c r="E20">
        <v>1963</v>
      </c>
      <c r="F20">
        <v>28</v>
      </c>
      <c r="G20" s="4">
        <f t="shared" si="0"/>
        <v>0.86363636363636365</v>
      </c>
      <c r="H20" s="3">
        <f t="shared" si="1"/>
        <v>0.85</v>
      </c>
      <c r="I20" s="4">
        <f t="shared" si="2"/>
        <v>0.98573611818644935</v>
      </c>
      <c r="J20" s="4">
        <f t="shared" si="3"/>
        <v>0.72361992312323442</v>
      </c>
    </row>
    <row r="21" spans="1:10" x14ac:dyDescent="0.3">
      <c r="A21" s="2">
        <v>45305</v>
      </c>
      <c r="B21" s="3">
        <v>1</v>
      </c>
      <c r="C21" s="3">
        <v>1</v>
      </c>
      <c r="D21">
        <v>95</v>
      </c>
      <c r="E21">
        <v>2030</v>
      </c>
      <c r="F21">
        <v>44</v>
      </c>
      <c r="G21" s="4">
        <f t="shared" si="0"/>
        <v>0.95652173913043481</v>
      </c>
      <c r="H21" s="3">
        <f t="shared" si="1"/>
        <v>0.95</v>
      </c>
      <c r="I21" s="4">
        <f t="shared" si="2"/>
        <v>0.97832512315270936</v>
      </c>
      <c r="J21" s="4">
        <f t="shared" si="3"/>
        <v>0.88899978582137495</v>
      </c>
    </row>
    <row r="22" spans="1:10" x14ac:dyDescent="0.3">
      <c r="A22" s="2">
        <v>45306</v>
      </c>
      <c r="B22" s="3">
        <v>1</v>
      </c>
      <c r="C22" s="3">
        <v>3</v>
      </c>
      <c r="D22">
        <v>94</v>
      </c>
      <c r="E22">
        <v>2267</v>
      </c>
      <c r="F22">
        <v>30</v>
      </c>
      <c r="G22" s="4">
        <f t="shared" si="0"/>
        <v>0.86956521739130432</v>
      </c>
      <c r="H22" s="3">
        <f t="shared" si="1"/>
        <v>0.94</v>
      </c>
      <c r="I22" s="4">
        <f t="shared" si="2"/>
        <v>0.98676665196294666</v>
      </c>
      <c r="J22" s="4">
        <f t="shared" si="3"/>
        <v>0.80657448073493021</v>
      </c>
    </row>
    <row r="23" spans="1:10" x14ac:dyDescent="0.3">
      <c r="A23" s="2">
        <v>45307</v>
      </c>
      <c r="B23" s="3">
        <v>2</v>
      </c>
      <c r="C23" s="3">
        <v>2</v>
      </c>
      <c r="D23">
        <v>83</v>
      </c>
      <c r="E23">
        <v>2161</v>
      </c>
      <c r="F23">
        <v>42</v>
      </c>
      <c r="G23" s="4">
        <f t="shared" si="0"/>
        <v>0.90909090909090906</v>
      </c>
      <c r="H23" s="3">
        <f t="shared" si="1"/>
        <v>0.83</v>
      </c>
      <c r="I23" s="4">
        <f t="shared" si="2"/>
        <v>0.98056455344747806</v>
      </c>
      <c r="J23" s="4">
        <f t="shared" si="3"/>
        <v>0.73988052669218796</v>
      </c>
    </row>
    <row r="24" spans="1:10" x14ac:dyDescent="0.3">
      <c r="A24" s="2">
        <v>45308</v>
      </c>
      <c r="B24" s="3">
        <v>2</v>
      </c>
      <c r="C24" s="3">
        <v>3</v>
      </c>
      <c r="D24">
        <v>96</v>
      </c>
      <c r="E24">
        <v>2126</v>
      </c>
      <c r="F24">
        <v>56</v>
      </c>
      <c r="G24" s="4">
        <f t="shared" si="0"/>
        <v>0.86363636363636365</v>
      </c>
      <c r="H24" s="3">
        <f t="shared" si="1"/>
        <v>0.96</v>
      </c>
      <c r="I24" s="4">
        <f t="shared" si="2"/>
        <v>0.97365945437441204</v>
      </c>
      <c r="J24" s="4">
        <f t="shared" si="3"/>
        <v>0.80725220217223981</v>
      </c>
    </row>
    <row r="25" spans="1:10" x14ac:dyDescent="0.3">
      <c r="A25" s="2">
        <v>45309</v>
      </c>
      <c r="B25" s="3">
        <v>2</v>
      </c>
      <c r="C25" s="3">
        <v>3</v>
      </c>
      <c r="D25">
        <v>87</v>
      </c>
      <c r="E25">
        <v>1926</v>
      </c>
      <c r="F25">
        <v>50</v>
      </c>
      <c r="G25" s="4">
        <f t="shared" si="0"/>
        <v>0.86363636363636365</v>
      </c>
      <c r="H25" s="3">
        <f t="shared" si="1"/>
        <v>0.87</v>
      </c>
      <c r="I25" s="4">
        <f t="shared" si="2"/>
        <v>0.97403946002076847</v>
      </c>
      <c r="J25" s="4">
        <f t="shared" si="3"/>
        <v>0.73185783064287735</v>
      </c>
    </row>
    <row r="26" spans="1:10" x14ac:dyDescent="0.3">
      <c r="A26" s="2">
        <v>45310</v>
      </c>
      <c r="B26" s="3">
        <v>2</v>
      </c>
      <c r="C26" s="3">
        <v>1</v>
      </c>
      <c r="D26">
        <v>83</v>
      </c>
      <c r="E26">
        <v>2231</v>
      </c>
      <c r="F26">
        <v>23</v>
      </c>
      <c r="G26" s="4">
        <f t="shared" si="0"/>
        <v>0.95454545454545459</v>
      </c>
      <c r="H26" s="3">
        <f t="shared" si="1"/>
        <v>0.83</v>
      </c>
      <c r="I26" s="4">
        <f t="shared" si="2"/>
        <v>0.98969072164948457</v>
      </c>
      <c r="J26" s="4">
        <f t="shared" si="3"/>
        <v>0.78410496719775069</v>
      </c>
    </row>
    <row r="27" spans="1:10" x14ac:dyDescent="0.3">
      <c r="A27" s="2">
        <v>45311</v>
      </c>
      <c r="B27" s="3">
        <v>1</v>
      </c>
      <c r="C27" s="3">
        <v>1</v>
      </c>
      <c r="D27">
        <v>97</v>
      </c>
      <c r="E27">
        <v>2122</v>
      </c>
      <c r="F27">
        <v>33</v>
      </c>
      <c r="G27" s="4">
        <f t="shared" si="0"/>
        <v>0.95652173913043481</v>
      </c>
      <c r="H27" s="3">
        <f t="shared" si="1"/>
        <v>0.97</v>
      </c>
      <c r="I27" s="4">
        <f t="shared" si="2"/>
        <v>0.98444863336475019</v>
      </c>
      <c r="J27" s="4">
        <f t="shared" si="3"/>
        <v>0.91339712330451162</v>
      </c>
    </row>
    <row r="28" spans="1:10" x14ac:dyDescent="0.3">
      <c r="A28" s="2">
        <v>45312</v>
      </c>
      <c r="B28" s="3">
        <v>1</v>
      </c>
      <c r="C28" s="3">
        <v>2</v>
      </c>
      <c r="D28">
        <v>99</v>
      </c>
      <c r="E28">
        <v>2212</v>
      </c>
      <c r="F28">
        <v>48</v>
      </c>
      <c r="G28" s="4">
        <f t="shared" si="0"/>
        <v>0.91304347826086951</v>
      </c>
      <c r="H28" s="3">
        <f t="shared" si="1"/>
        <v>0.99</v>
      </c>
      <c r="I28" s="4">
        <f t="shared" si="2"/>
        <v>0.97830018083182635</v>
      </c>
      <c r="J28" s="4">
        <f t="shared" si="3"/>
        <v>0.8842982938910291</v>
      </c>
    </row>
    <row r="29" spans="1:10" x14ac:dyDescent="0.3">
      <c r="A29" s="2">
        <v>45313</v>
      </c>
      <c r="B29" s="3">
        <v>2</v>
      </c>
      <c r="C29" s="3">
        <v>1</v>
      </c>
      <c r="D29">
        <v>83</v>
      </c>
      <c r="E29">
        <v>1787</v>
      </c>
      <c r="F29">
        <v>55</v>
      </c>
      <c r="G29" s="4">
        <f t="shared" si="0"/>
        <v>0.95454545454545459</v>
      </c>
      <c r="H29" s="3">
        <f t="shared" si="1"/>
        <v>0.83</v>
      </c>
      <c r="I29" s="4">
        <f t="shared" si="2"/>
        <v>0.9692221600447678</v>
      </c>
      <c r="J29" s="4">
        <f t="shared" si="3"/>
        <v>0.76788828407183196</v>
      </c>
    </row>
    <row r="30" spans="1:10" x14ac:dyDescent="0.3">
      <c r="A30" s="2">
        <v>45314</v>
      </c>
      <c r="B30" s="3">
        <v>1</v>
      </c>
      <c r="C30" s="3">
        <v>2</v>
      </c>
      <c r="D30">
        <v>91</v>
      </c>
      <c r="E30">
        <v>1776</v>
      </c>
      <c r="F30">
        <v>31</v>
      </c>
      <c r="G30" s="4">
        <f t="shared" si="0"/>
        <v>0.91304347826086951</v>
      </c>
      <c r="H30" s="3">
        <f t="shared" si="1"/>
        <v>0.91</v>
      </c>
      <c r="I30" s="4">
        <f t="shared" si="2"/>
        <v>0.98254504504504503</v>
      </c>
      <c r="J30" s="4">
        <f t="shared" si="3"/>
        <v>0.8163667743830787</v>
      </c>
    </row>
    <row r="31" spans="1:10" x14ac:dyDescent="0.3">
      <c r="A31" s="2">
        <v>45315</v>
      </c>
      <c r="B31" s="3">
        <v>1</v>
      </c>
      <c r="C31" s="3">
        <v>2</v>
      </c>
      <c r="D31">
        <v>93</v>
      </c>
      <c r="E31">
        <v>2212</v>
      </c>
      <c r="F31">
        <v>51</v>
      </c>
      <c r="G31" s="4">
        <f t="shared" si="0"/>
        <v>0.91304347826086951</v>
      </c>
      <c r="H31" s="3">
        <f t="shared" si="1"/>
        <v>0.93</v>
      </c>
      <c r="I31" s="4">
        <f t="shared" si="2"/>
        <v>0.97694394213381552</v>
      </c>
      <c r="J31" s="4">
        <f t="shared" si="3"/>
        <v>0.82955283434232252</v>
      </c>
    </row>
    <row r="32" spans="1:10" x14ac:dyDescent="0.3">
      <c r="A32" s="2">
        <v>45316</v>
      </c>
      <c r="B32" s="3">
        <v>3</v>
      </c>
      <c r="C32" s="3">
        <v>3</v>
      </c>
      <c r="D32">
        <v>90</v>
      </c>
      <c r="E32">
        <v>2269</v>
      </c>
      <c r="F32">
        <v>49</v>
      </c>
      <c r="G32" s="4">
        <f t="shared" si="0"/>
        <v>0.8571428571428571</v>
      </c>
      <c r="H32" s="3">
        <f t="shared" si="1"/>
        <v>0.9</v>
      </c>
      <c r="I32" s="4">
        <f t="shared" si="2"/>
        <v>0.9784045835169678</v>
      </c>
      <c r="J32" s="4">
        <f t="shared" si="3"/>
        <v>0.75476925014166085</v>
      </c>
    </row>
    <row r="33" spans="1:10" x14ac:dyDescent="0.3">
      <c r="A33" s="2">
        <v>45317</v>
      </c>
      <c r="B33" s="3">
        <v>3</v>
      </c>
      <c r="C33" s="3">
        <v>1</v>
      </c>
      <c r="D33">
        <v>96</v>
      </c>
      <c r="E33">
        <v>2095</v>
      </c>
      <c r="F33">
        <v>27</v>
      </c>
      <c r="G33" s="4">
        <f t="shared" si="0"/>
        <v>0.95238095238095233</v>
      </c>
      <c r="H33" s="3">
        <f t="shared" si="1"/>
        <v>0.96</v>
      </c>
      <c r="I33" s="4">
        <f t="shared" si="2"/>
        <v>0.98711217183770883</v>
      </c>
      <c r="J33" s="4">
        <f t="shared" si="3"/>
        <v>0.90250255710876226</v>
      </c>
    </row>
    <row r="34" spans="1:10" x14ac:dyDescent="0.3">
      <c r="A34" s="2">
        <v>45318</v>
      </c>
      <c r="B34" s="3">
        <v>2</v>
      </c>
      <c r="C34" s="3">
        <v>2</v>
      </c>
      <c r="D34">
        <v>97</v>
      </c>
      <c r="E34">
        <v>2276</v>
      </c>
      <c r="F34">
        <v>23</v>
      </c>
      <c r="G34" s="4">
        <f t="shared" si="0"/>
        <v>0.90909090909090906</v>
      </c>
      <c r="H34" s="3">
        <f t="shared" si="1"/>
        <v>0.97</v>
      </c>
      <c r="I34" s="4">
        <f t="shared" si="2"/>
        <v>0.9898945518453427</v>
      </c>
      <c r="J34" s="4">
        <f t="shared" si="3"/>
        <v>0.87290701389998393</v>
      </c>
    </row>
    <row r="35" spans="1:10" x14ac:dyDescent="0.3">
      <c r="A35" s="2">
        <v>45319</v>
      </c>
      <c r="B35" s="3">
        <v>3</v>
      </c>
      <c r="C35" s="3">
        <v>1</v>
      </c>
      <c r="D35">
        <v>91</v>
      </c>
      <c r="E35">
        <v>1978</v>
      </c>
      <c r="F35">
        <v>34</v>
      </c>
      <c r="G35" s="4">
        <f t="shared" si="0"/>
        <v>0.95238095238095233</v>
      </c>
      <c r="H35" s="3">
        <f t="shared" si="1"/>
        <v>0.91</v>
      </c>
      <c r="I35" s="4">
        <f t="shared" si="2"/>
        <v>0.98281092012133464</v>
      </c>
      <c r="J35" s="4">
        <f t="shared" si="3"/>
        <v>0.85176946410515675</v>
      </c>
    </row>
    <row r="36" spans="1:10" x14ac:dyDescent="0.3">
      <c r="A36" s="2">
        <v>45320</v>
      </c>
      <c r="B36" s="3">
        <v>3</v>
      </c>
      <c r="C36" s="3">
        <v>1</v>
      </c>
      <c r="D36">
        <v>86</v>
      </c>
      <c r="E36">
        <v>1984</v>
      </c>
      <c r="F36">
        <v>27</v>
      </c>
      <c r="G36" s="4">
        <f t="shared" si="0"/>
        <v>0.95238095238095233</v>
      </c>
      <c r="H36" s="3">
        <f t="shared" si="1"/>
        <v>0.86</v>
      </c>
      <c r="I36" s="4">
        <f t="shared" si="2"/>
        <v>0.98639112903225812</v>
      </c>
      <c r="J36" s="4">
        <f t="shared" si="3"/>
        <v>0.80790130568356378</v>
      </c>
    </row>
    <row r="37" spans="1:10" x14ac:dyDescent="0.3">
      <c r="A37" s="2">
        <v>45321</v>
      </c>
      <c r="B37" s="3">
        <v>2</v>
      </c>
      <c r="C37" s="3">
        <v>1</v>
      </c>
      <c r="D37">
        <v>93</v>
      </c>
      <c r="E37">
        <v>1919</v>
      </c>
      <c r="F37">
        <v>59</v>
      </c>
      <c r="G37" s="4">
        <f t="shared" si="0"/>
        <v>0.95454545454545459</v>
      </c>
      <c r="H37" s="3">
        <f t="shared" si="1"/>
        <v>0.93</v>
      </c>
      <c r="I37" s="4">
        <f t="shared" si="2"/>
        <v>0.969254820218864</v>
      </c>
      <c r="J37" s="4">
        <f t="shared" si="3"/>
        <v>0.86043393813065527</v>
      </c>
    </row>
    <row r="38" spans="1:10" x14ac:dyDescent="0.3">
      <c r="A38" s="2">
        <v>45322</v>
      </c>
      <c r="B38" s="3">
        <v>3</v>
      </c>
      <c r="C38" s="3">
        <v>2</v>
      </c>
      <c r="D38">
        <v>82</v>
      </c>
      <c r="E38">
        <v>1829</v>
      </c>
      <c r="F38">
        <v>49</v>
      </c>
      <c r="G38" s="4">
        <f t="shared" si="0"/>
        <v>0.90476190476190477</v>
      </c>
      <c r="H38" s="3">
        <f t="shared" si="1"/>
        <v>0.82</v>
      </c>
      <c r="I38" s="4">
        <f t="shared" si="2"/>
        <v>0.97320940404592671</v>
      </c>
      <c r="J38" s="4">
        <f t="shared" si="3"/>
        <v>0.72202869119216839</v>
      </c>
    </row>
    <row r="39" spans="1:10" x14ac:dyDescent="0.3">
      <c r="A39" s="2">
        <v>45323</v>
      </c>
      <c r="B39" s="3">
        <v>1</v>
      </c>
      <c r="C39" s="3">
        <v>3</v>
      </c>
      <c r="D39">
        <v>100</v>
      </c>
      <c r="E39">
        <v>2005</v>
      </c>
      <c r="F39">
        <v>53</v>
      </c>
      <c r="G39" s="4">
        <f t="shared" si="0"/>
        <v>0.86956521739130432</v>
      </c>
      <c r="H39" s="3">
        <f t="shared" si="1"/>
        <v>1</v>
      </c>
      <c r="I39" s="4">
        <f t="shared" si="2"/>
        <v>0.97356608478802997</v>
      </c>
      <c r="J39" s="4">
        <f t="shared" si="3"/>
        <v>0.8465792041635043</v>
      </c>
    </row>
    <row r="40" spans="1:10" x14ac:dyDescent="0.3">
      <c r="A40" s="2">
        <v>45324</v>
      </c>
      <c r="B40" s="3">
        <v>1</v>
      </c>
      <c r="C40" s="3">
        <v>2</v>
      </c>
      <c r="D40">
        <v>89</v>
      </c>
      <c r="E40">
        <v>2211</v>
      </c>
      <c r="F40">
        <v>47</v>
      </c>
      <c r="G40" s="4">
        <f t="shared" si="0"/>
        <v>0.91304347826086951</v>
      </c>
      <c r="H40" s="3">
        <f t="shared" si="1"/>
        <v>0.89</v>
      </c>
      <c r="I40" s="4">
        <f t="shared" si="2"/>
        <v>0.97874265038444141</v>
      </c>
      <c r="J40" s="4">
        <f t="shared" si="3"/>
        <v>0.79533478850805261</v>
      </c>
    </row>
    <row r="41" spans="1:10" x14ac:dyDescent="0.3">
      <c r="A41" s="2">
        <v>45325</v>
      </c>
      <c r="B41" s="3">
        <v>1</v>
      </c>
      <c r="C41" s="3">
        <v>2</v>
      </c>
      <c r="D41">
        <v>88</v>
      </c>
      <c r="E41">
        <v>2276</v>
      </c>
      <c r="F41">
        <v>32</v>
      </c>
      <c r="G41" s="4">
        <f t="shared" si="0"/>
        <v>0.91304347826086951</v>
      </c>
      <c r="H41" s="3">
        <f t="shared" si="1"/>
        <v>0.88</v>
      </c>
      <c r="I41" s="4">
        <f t="shared" si="2"/>
        <v>0.98594024604569419</v>
      </c>
      <c r="J41" s="4">
        <f t="shared" si="3"/>
        <v>0.79218155421410552</v>
      </c>
    </row>
    <row r="42" spans="1:10" x14ac:dyDescent="0.3">
      <c r="A42" s="2">
        <v>45326</v>
      </c>
      <c r="B42" s="3">
        <v>3</v>
      </c>
      <c r="C42" s="3">
        <v>1</v>
      </c>
      <c r="D42">
        <v>92</v>
      </c>
      <c r="E42">
        <v>1716</v>
      </c>
      <c r="F42">
        <v>24</v>
      </c>
      <c r="G42" s="4">
        <f t="shared" si="0"/>
        <v>0.95238095238095233</v>
      </c>
      <c r="H42" s="3">
        <f t="shared" si="1"/>
        <v>0.92</v>
      </c>
      <c r="I42" s="4">
        <f t="shared" si="2"/>
        <v>0.98601398601398604</v>
      </c>
      <c r="J42" s="4">
        <f t="shared" si="3"/>
        <v>0.86393606393606392</v>
      </c>
    </row>
    <row r="43" spans="1:10" x14ac:dyDescent="0.3">
      <c r="A43" s="2">
        <v>45327</v>
      </c>
      <c r="B43" s="3">
        <v>3</v>
      </c>
      <c r="C43" s="3">
        <v>3</v>
      </c>
      <c r="D43">
        <v>81</v>
      </c>
      <c r="E43">
        <v>1840</v>
      </c>
      <c r="F43">
        <v>45</v>
      </c>
      <c r="G43" s="4">
        <f t="shared" si="0"/>
        <v>0.8571428571428571</v>
      </c>
      <c r="H43" s="3">
        <f t="shared" si="1"/>
        <v>0.81</v>
      </c>
      <c r="I43" s="4">
        <f t="shared" si="2"/>
        <v>0.97554347826086951</v>
      </c>
      <c r="J43" s="4">
        <f t="shared" si="3"/>
        <v>0.67730590062111795</v>
      </c>
    </row>
    <row r="44" spans="1:10" x14ac:dyDescent="0.3">
      <c r="A44" s="2">
        <v>45328</v>
      </c>
      <c r="B44" s="3">
        <v>2</v>
      </c>
      <c r="C44" s="3">
        <v>1</v>
      </c>
      <c r="D44">
        <v>87</v>
      </c>
      <c r="E44">
        <v>1776</v>
      </c>
      <c r="F44">
        <v>28</v>
      </c>
      <c r="G44" s="4">
        <f t="shared" si="0"/>
        <v>0.95454545454545459</v>
      </c>
      <c r="H44" s="3">
        <f t="shared" si="1"/>
        <v>0.87</v>
      </c>
      <c r="I44" s="4">
        <f t="shared" si="2"/>
        <v>0.98423423423423428</v>
      </c>
      <c r="J44" s="4">
        <f t="shared" si="3"/>
        <v>0.81736179361179362</v>
      </c>
    </row>
    <row r="45" spans="1:10" x14ac:dyDescent="0.3">
      <c r="A45" s="2">
        <v>45329</v>
      </c>
      <c r="B45" s="3">
        <v>3</v>
      </c>
      <c r="C45" s="3">
        <v>2</v>
      </c>
      <c r="D45">
        <v>96</v>
      </c>
      <c r="E45">
        <v>1868</v>
      </c>
      <c r="F45">
        <v>40</v>
      </c>
      <c r="G45" s="4">
        <f t="shared" si="0"/>
        <v>0.90476190476190477</v>
      </c>
      <c r="H45" s="3">
        <f t="shared" si="1"/>
        <v>0.96</v>
      </c>
      <c r="I45" s="4">
        <f t="shared" si="2"/>
        <v>0.97858672376873657</v>
      </c>
      <c r="J45" s="4">
        <f t="shared" si="3"/>
        <v>0.84997246864484544</v>
      </c>
    </row>
    <row r="46" spans="1:10" x14ac:dyDescent="0.3">
      <c r="A46" s="2">
        <v>45330</v>
      </c>
      <c r="B46" s="3">
        <v>2</v>
      </c>
      <c r="C46" s="3">
        <v>1</v>
      </c>
      <c r="D46">
        <v>94</v>
      </c>
      <c r="E46">
        <v>1796</v>
      </c>
      <c r="F46">
        <v>26</v>
      </c>
      <c r="G46" s="4">
        <f t="shared" si="0"/>
        <v>0.95454545454545459</v>
      </c>
      <c r="H46" s="3">
        <f t="shared" si="1"/>
        <v>0.94</v>
      </c>
      <c r="I46" s="4">
        <f t="shared" si="2"/>
        <v>0.98552338530066819</v>
      </c>
      <c r="J46" s="4">
        <f t="shared" si="3"/>
        <v>0.88428325571978128</v>
      </c>
    </row>
    <row r="47" spans="1:10" x14ac:dyDescent="0.3">
      <c r="A47" s="2">
        <v>45331</v>
      </c>
      <c r="B47" s="3">
        <v>1</v>
      </c>
      <c r="C47" s="3">
        <v>2</v>
      </c>
      <c r="D47">
        <v>95</v>
      </c>
      <c r="E47">
        <v>2195</v>
      </c>
      <c r="F47">
        <v>39</v>
      </c>
      <c r="G47" s="4">
        <f t="shared" si="0"/>
        <v>0.91304347826086951</v>
      </c>
      <c r="H47" s="3">
        <f t="shared" si="1"/>
        <v>0.95</v>
      </c>
      <c r="I47" s="4">
        <f t="shared" si="2"/>
        <v>0.98223234624145783</v>
      </c>
      <c r="J47" s="4">
        <f t="shared" si="3"/>
        <v>0.85197979597900353</v>
      </c>
    </row>
    <row r="48" spans="1:10" x14ac:dyDescent="0.3">
      <c r="A48" s="2">
        <v>45332</v>
      </c>
      <c r="B48" s="3">
        <v>3</v>
      </c>
      <c r="C48" s="3">
        <v>1</v>
      </c>
      <c r="D48">
        <v>90</v>
      </c>
      <c r="E48">
        <v>1752</v>
      </c>
      <c r="F48">
        <v>56</v>
      </c>
      <c r="G48" s="4">
        <f t="shared" si="0"/>
        <v>0.95238095238095233</v>
      </c>
      <c r="H48" s="3">
        <f t="shared" si="1"/>
        <v>0.9</v>
      </c>
      <c r="I48" s="4">
        <f t="shared" si="2"/>
        <v>0.96803652968036524</v>
      </c>
      <c r="J48" s="4">
        <f t="shared" si="3"/>
        <v>0.82974559686888449</v>
      </c>
    </row>
    <row r="49" spans="1:10" x14ac:dyDescent="0.3">
      <c r="A49" s="2">
        <v>45333</v>
      </c>
      <c r="B49" s="3">
        <v>1</v>
      </c>
      <c r="C49" s="3">
        <v>2</v>
      </c>
      <c r="D49">
        <v>88</v>
      </c>
      <c r="E49">
        <v>2206</v>
      </c>
      <c r="F49">
        <v>33</v>
      </c>
      <c r="G49" s="4">
        <f t="shared" si="0"/>
        <v>0.91304347826086951</v>
      </c>
      <c r="H49" s="3">
        <f t="shared" si="1"/>
        <v>0.88</v>
      </c>
      <c r="I49" s="4">
        <f t="shared" si="2"/>
        <v>0.98504079782411602</v>
      </c>
      <c r="J49" s="4">
        <f t="shared" si="3"/>
        <v>0.79145886712128977</v>
      </c>
    </row>
    <row r="50" spans="1:10" x14ac:dyDescent="0.3">
      <c r="A50" s="2">
        <v>45334</v>
      </c>
      <c r="B50" s="3">
        <v>3</v>
      </c>
      <c r="C50" s="3">
        <v>1</v>
      </c>
      <c r="D50">
        <v>93</v>
      </c>
      <c r="E50">
        <v>2129</v>
      </c>
      <c r="F50">
        <v>36</v>
      </c>
      <c r="G50" s="4">
        <f t="shared" si="0"/>
        <v>0.95238095238095233</v>
      </c>
      <c r="H50" s="3">
        <f t="shared" si="1"/>
        <v>0.93</v>
      </c>
      <c r="I50" s="4">
        <f t="shared" si="2"/>
        <v>0.98309065288868014</v>
      </c>
      <c r="J50" s="4">
        <f t="shared" si="3"/>
        <v>0.87073743541568804</v>
      </c>
    </row>
    <row r="51" spans="1:10" x14ac:dyDescent="0.3">
      <c r="A51" s="2">
        <v>45335</v>
      </c>
      <c r="B51" s="3">
        <v>2</v>
      </c>
      <c r="C51" s="3">
        <v>3</v>
      </c>
      <c r="D51">
        <v>92</v>
      </c>
      <c r="E51">
        <v>1946</v>
      </c>
      <c r="F51">
        <v>54</v>
      </c>
      <c r="G51" s="4">
        <f t="shared" si="0"/>
        <v>0.86363636363636365</v>
      </c>
      <c r="H51" s="3">
        <f t="shared" si="1"/>
        <v>0.92</v>
      </c>
      <c r="I51" s="4">
        <f t="shared" si="2"/>
        <v>0.9722507708119219</v>
      </c>
      <c r="J51" s="4">
        <f t="shared" si="3"/>
        <v>0.772497430626927</v>
      </c>
    </row>
    <row r="52" spans="1:10" x14ac:dyDescent="0.3">
      <c r="A52" s="2">
        <v>45336</v>
      </c>
      <c r="B52" s="3">
        <v>1</v>
      </c>
      <c r="C52" s="3">
        <v>2</v>
      </c>
      <c r="D52">
        <v>91</v>
      </c>
      <c r="E52">
        <v>1707</v>
      </c>
      <c r="F52">
        <v>51</v>
      </c>
      <c r="G52" s="4">
        <f t="shared" si="0"/>
        <v>0.91304347826086951</v>
      </c>
      <c r="H52" s="3">
        <f t="shared" si="1"/>
        <v>0.91</v>
      </c>
      <c r="I52" s="4">
        <f t="shared" si="2"/>
        <v>0.97012302284710017</v>
      </c>
      <c r="J52" s="4">
        <f t="shared" si="3"/>
        <v>0.80604569420035144</v>
      </c>
    </row>
    <row r="53" spans="1:10" x14ac:dyDescent="0.3">
      <c r="A53" s="2">
        <v>45337</v>
      </c>
      <c r="B53" s="3">
        <v>1</v>
      </c>
      <c r="C53" s="3">
        <v>3</v>
      </c>
      <c r="D53">
        <v>99</v>
      </c>
      <c r="E53">
        <v>1718</v>
      </c>
      <c r="F53">
        <v>56</v>
      </c>
      <c r="G53" s="4">
        <f t="shared" si="0"/>
        <v>0.86956521739130432</v>
      </c>
      <c r="H53" s="3">
        <f t="shared" si="1"/>
        <v>0.99</v>
      </c>
      <c r="I53" s="4">
        <f t="shared" si="2"/>
        <v>0.96740395809080326</v>
      </c>
      <c r="J53" s="4">
        <f t="shared" si="3"/>
        <v>0.8328086247912132</v>
      </c>
    </row>
    <row r="54" spans="1:10" x14ac:dyDescent="0.3">
      <c r="A54" s="2">
        <v>45338</v>
      </c>
      <c r="B54" s="3">
        <v>1</v>
      </c>
      <c r="C54" s="3">
        <v>2</v>
      </c>
      <c r="D54">
        <v>85</v>
      </c>
      <c r="E54">
        <v>2172</v>
      </c>
      <c r="F54">
        <v>38</v>
      </c>
      <c r="G54" s="4">
        <f t="shared" si="0"/>
        <v>0.91304347826086951</v>
      </c>
      <c r="H54" s="3">
        <f t="shared" si="1"/>
        <v>0.85</v>
      </c>
      <c r="I54" s="4">
        <f t="shared" si="2"/>
        <v>0.98250460405156537</v>
      </c>
      <c r="J54" s="4">
        <f t="shared" si="3"/>
        <v>0.76250900792697573</v>
      </c>
    </row>
    <row r="55" spans="1:10" x14ac:dyDescent="0.3">
      <c r="A55" s="2">
        <v>45339</v>
      </c>
      <c r="B55" s="3">
        <v>1</v>
      </c>
      <c r="C55" s="3">
        <v>3</v>
      </c>
      <c r="D55">
        <v>97</v>
      </c>
      <c r="E55">
        <v>2111</v>
      </c>
      <c r="F55">
        <v>28</v>
      </c>
      <c r="G55" s="4">
        <f t="shared" si="0"/>
        <v>0.86956521739130432</v>
      </c>
      <c r="H55" s="3">
        <f t="shared" si="1"/>
        <v>0.97</v>
      </c>
      <c r="I55" s="4">
        <f t="shared" si="2"/>
        <v>0.98673614400757936</v>
      </c>
      <c r="J55" s="4">
        <f t="shared" si="3"/>
        <v>0.83229048668465377</v>
      </c>
    </row>
    <row r="56" spans="1:10" x14ac:dyDescent="0.3">
      <c r="A56" s="2">
        <v>45340</v>
      </c>
      <c r="B56" s="3">
        <v>2</v>
      </c>
      <c r="C56" s="3">
        <v>3</v>
      </c>
      <c r="D56">
        <v>83</v>
      </c>
      <c r="E56">
        <v>1754</v>
      </c>
      <c r="F56">
        <v>25</v>
      </c>
      <c r="G56" s="4">
        <f t="shared" si="0"/>
        <v>0.86363636363636365</v>
      </c>
      <c r="H56" s="3">
        <f t="shared" si="1"/>
        <v>0.83</v>
      </c>
      <c r="I56" s="4">
        <f t="shared" si="2"/>
        <v>0.98574686431014824</v>
      </c>
      <c r="J56" s="4">
        <f t="shared" si="3"/>
        <v>0.70660127500777448</v>
      </c>
    </row>
    <row r="57" spans="1:10" x14ac:dyDescent="0.3">
      <c r="A57" s="2">
        <v>45341</v>
      </c>
      <c r="B57" s="3">
        <v>3</v>
      </c>
      <c r="C57" s="3">
        <v>3</v>
      </c>
      <c r="D57">
        <v>83</v>
      </c>
      <c r="E57">
        <v>1980</v>
      </c>
      <c r="F57">
        <v>51</v>
      </c>
      <c r="G57" s="4">
        <f t="shared" si="0"/>
        <v>0.8571428571428571</v>
      </c>
      <c r="H57" s="3">
        <f t="shared" si="1"/>
        <v>0.83</v>
      </c>
      <c r="I57" s="4">
        <f t="shared" si="2"/>
        <v>0.97424242424242424</v>
      </c>
      <c r="J57" s="4">
        <f t="shared" si="3"/>
        <v>0.69310389610389611</v>
      </c>
    </row>
    <row r="58" spans="1:10" x14ac:dyDescent="0.3">
      <c r="A58" s="2">
        <v>45342</v>
      </c>
      <c r="B58" s="3">
        <v>2</v>
      </c>
      <c r="C58" s="3">
        <v>2</v>
      </c>
      <c r="D58">
        <v>95</v>
      </c>
      <c r="E58">
        <v>1849</v>
      </c>
      <c r="F58">
        <v>58</v>
      </c>
      <c r="G58" s="4">
        <f t="shared" si="0"/>
        <v>0.90909090909090906</v>
      </c>
      <c r="H58" s="3">
        <f t="shared" si="1"/>
        <v>0.95</v>
      </c>
      <c r="I58" s="4">
        <f t="shared" si="2"/>
        <v>0.96863169280692263</v>
      </c>
      <c r="J58" s="4">
        <f t="shared" si="3"/>
        <v>0.8365455528787058</v>
      </c>
    </row>
    <row r="59" spans="1:10" x14ac:dyDescent="0.3">
      <c r="A59" s="2">
        <v>45343</v>
      </c>
      <c r="B59" s="3">
        <v>1</v>
      </c>
      <c r="C59" s="3">
        <v>2</v>
      </c>
      <c r="D59">
        <v>88</v>
      </c>
      <c r="E59">
        <v>1964</v>
      </c>
      <c r="F59">
        <v>57</v>
      </c>
      <c r="G59" s="4">
        <f t="shared" si="0"/>
        <v>0.91304347826086951</v>
      </c>
      <c r="H59" s="3">
        <f t="shared" si="1"/>
        <v>0.88</v>
      </c>
      <c r="I59" s="4">
        <f t="shared" si="2"/>
        <v>0.97097759674134421</v>
      </c>
      <c r="J59" s="4">
        <f t="shared" si="3"/>
        <v>0.78015939077304519</v>
      </c>
    </row>
    <row r="60" spans="1:10" x14ac:dyDescent="0.3">
      <c r="A60" s="2">
        <v>45344</v>
      </c>
      <c r="B60" s="3">
        <v>1</v>
      </c>
      <c r="C60" s="3">
        <v>2</v>
      </c>
      <c r="D60">
        <v>100</v>
      </c>
      <c r="E60">
        <v>1950</v>
      </c>
      <c r="F60">
        <v>26</v>
      </c>
      <c r="G60" s="4">
        <f t="shared" si="0"/>
        <v>0.91304347826086951</v>
      </c>
      <c r="H60" s="3">
        <f t="shared" si="1"/>
        <v>1</v>
      </c>
      <c r="I60" s="4">
        <f t="shared" si="2"/>
        <v>0.98666666666666669</v>
      </c>
      <c r="J60" s="4">
        <f t="shared" si="3"/>
        <v>0.90086956521739125</v>
      </c>
    </row>
    <row r="61" spans="1:10" x14ac:dyDescent="0.3">
      <c r="A61" s="2">
        <v>45345</v>
      </c>
      <c r="B61" s="3">
        <v>1</v>
      </c>
      <c r="C61" s="3">
        <v>3</v>
      </c>
      <c r="D61">
        <v>89</v>
      </c>
      <c r="E61">
        <v>1953</v>
      </c>
      <c r="F61">
        <v>28</v>
      </c>
      <c r="G61" s="4">
        <f t="shared" si="0"/>
        <v>0.86956521739130432</v>
      </c>
      <c r="H61" s="3">
        <f t="shared" si="1"/>
        <v>0.89</v>
      </c>
      <c r="I61" s="4">
        <f t="shared" si="2"/>
        <v>0.98566308243727596</v>
      </c>
      <c r="J61" s="4">
        <f t="shared" si="3"/>
        <v>0.76281751597319614</v>
      </c>
    </row>
    <row r="62" spans="1:10" x14ac:dyDescent="0.3">
      <c r="A62" s="2">
        <v>45346</v>
      </c>
      <c r="B62" s="3">
        <v>1</v>
      </c>
      <c r="C62" s="3">
        <v>2</v>
      </c>
      <c r="D62">
        <v>93</v>
      </c>
      <c r="E62">
        <v>1927</v>
      </c>
      <c r="F62">
        <v>24</v>
      </c>
      <c r="G62" s="4">
        <f t="shared" si="0"/>
        <v>0.91304347826086951</v>
      </c>
      <c r="H62" s="3">
        <f t="shared" si="1"/>
        <v>0.93</v>
      </c>
      <c r="I62" s="4">
        <f t="shared" si="2"/>
        <v>0.98754540736896734</v>
      </c>
      <c r="J62" s="4">
        <f t="shared" si="3"/>
        <v>0.83855486112677968</v>
      </c>
    </row>
    <row r="63" spans="1:10" x14ac:dyDescent="0.3">
      <c r="A63" s="2">
        <v>45347</v>
      </c>
      <c r="B63" s="3">
        <v>1</v>
      </c>
      <c r="C63" s="3">
        <v>3</v>
      </c>
      <c r="D63">
        <v>85</v>
      </c>
      <c r="E63">
        <v>1843</v>
      </c>
      <c r="F63">
        <v>39</v>
      </c>
      <c r="G63" s="4">
        <f t="shared" si="0"/>
        <v>0.86956521739130432</v>
      </c>
      <c r="H63" s="3">
        <f t="shared" si="1"/>
        <v>0.85</v>
      </c>
      <c r="I63" s="4">
        <f t="shared" si="2"/>
        <v>0.97883884970157353</v>
      </c>
      <c r="J63" s="4">
        <f t="shared" si="3"/>
        <v>0.72348958456203261</v>
      </c>
    </row>
    <row r="64" spans="1:10" x14ac:dyDescent="0.3">
      <c r="A64" s="2">
        <v>45348</v>
      </c>
      <c r="B64" s="3">
        <v>1</v>
      </c>
      <c r="C64" s="3">
        <v>3</v>
      </c>
      <c r="D64">
        <v>97</v>
      </c>
      <c r="E64">
        <v>1988</v>
      </c>
      <c r="F64">
        <v>52</v>
      </c>
      <c r="G64" s="4">
        <f t="shared" si="0"/>
        <v>0.86956521739130432</v>
      </c>
      <c r="H64" s="3">
        <f t="shared" si="1"/>
        <v>0.97</v>
      </c>
      <c r="I64" s="4">
        <f t="shared" si="2"/>
        <v>0.97384305835010065</v>
      </c>
      <c r="J64" s="4">
        <f t="shared" si="3"/>
        <v>0.82141544921704135</v>
      </c>
    </row>
    <row r="65" spans="1:10" x14ac:dyDescent="0.3">
      <c r="A65" s="2">
        <v>45349</v>
      </c>
      <c r="B65" s="3">
        <v>2</v>
      </c>
      <c r="C65" s="3">
        <v>3</v>
      </c>
      <c r="D65">
        <v>84</v>
      </c>
      <c r="E65">
        <v>2009</v>
      </c>
      <c r="F65">
        <v>26</v>
      </c>
      <c r="G65" s="4">
        <f t="shared" si="0"/>
        <v>0.86363636363636365</v>
      </c>
      <c r="H65" s="3">
        <f t="shared" si="1"/>
        <v>0.84</v>
      </c>
      <c r="I65" s="4">
        <f t="shared" si="2"/>
        <v>0.98705823792931802</v>
      </c>
      <c r="J65" s="4">
        <f t="shared" si="3"/>
        <v>0.71606588533417803</v>
      </c>
    </row>
    <row r="66" spans="1:10" x14ac:dyDescent="0.3">
      <c r="A66" s="2">
        <v>45350</v>
      </c>
      <c r="B66" s="3">
        <v>1</v>
      </c>
      <c r="C66" s="3">
        <v>1</v>
      </c>
      <c r="D66">
        <v>81</v>
      </c>
      <c r="E66">
        <v>1983</v>
      </c>
      <c r="F66">
        <v>58</v>
      </c>
      <c r="G66" s="4">
        <f t="shared" si="0"/>
        <v>0.95652173913043481</v>
      </c>
      <c r="H66" s="3">
        <f t="shared" si="1"/>
        <v>0.81</v>
      </c>
      <c r="I66" s="4">
        <f t="shared" si="2"/>
        <v>0.97075138678769546</v>
      </c>
      <c r="J66" s="4">
        <f t="shared" si="3"/>
        <v>0.75212129185029286</v>
      </c>
    </row>
    <row r="67" spans="1:10" x14ac:dyDescent="0.3">
      <c r="A67" s="2">
        <v>45351</v>
      </c>
      <c r="B67" s="3">
        <v>1</v>
      </c>
      <c r="C67" s="3">
        <v>3</v>
      </c>
      <c r="D67">
        <v>86</v>
      </c>
      <c r="E67">
        <v>2184</v>
      </c>
      <c r="F67">
        <v>20</v>
      </c>
      <c r="G67" s="4">
        <f t="shared" si="0"/>
        <v>0.86956521739130432</v>
      </c>
      <c r="H67" s="3">
        <f t="shared" si="1"/>
        <v>0.86</v>
      </c>
      <c r="I67" s="4">
        <f t="shared" si="2"/>
        <v>0.99084249084249088</v>
      </c>
      <c r="J67" s="4">
        <f t="shared" si="3"/>
        <v>0.74097786271699317</v>
      </c>
    </row>
    <row r="68" spans="1:10" x14ac:dyDescent="0.3">
      <c r="A68" s="2">
        <v>45352</v>
      </c>
      <c r="B68" s="3">
        <v>2</v>
      </c>
      <c r="C68" s="3">
        <v>2</v>
      </c>
      <c r="D68">
        <v>99</v>
      </c>
      <c r="E68">
        <v>1885</v>
      </c>
      <c r="F68">
        <v>47</v>
      </c>
      <c r="G68" s="4">
        <f t="shared" si="0"/>
        <v>0.90909090909090906</v>
      </c>
      <c r="H68" s="3">
        <f t="shared" si="1"/>
        <v>0.99</v>
      </c>
      <c r="I68" s="4">
        <f t="shared" si="2"/>
        <v>0.97506631299734747</v>
      </c>
      <c r="J68" s="4">
        <f t="shared" si="3"/>
        <v>0.87755968169761267</v>
      </c>
    </row>
    <row r="69" spans="1:10" x14ac:dyDescent="0.3">
      <c r="A69" s="2">
        <v>45353</v>
      </c>
      <c r="B69" s="3">
        <v>2</v>
      </c>
      <c r="C69" s="3">
        <v>3</v>
      </c>
      <c r="D69">
        <v>85</v>
      </c>
      <c r="E69">
        <v>1978</v>
      </c>
      <c r="F69">
        <v>42</v>
      </c>
      <c r="G69" s="4">
        <f t="shared" si="0"/>
        <v>0.86363636363636365</v>
      </c>
      <c r="H69" s="3">
        <f t="shared" si="1"/>
        <v>0.85</v>
      </c>
      <c r="I69" s="4">
        <f t="shared" si="2"/>
        <v>0.97876643073811931</v>
      </c>
      <c r="J69" s="4">
        <f t="shared" si="3"/>
        <v>0.71850353892821039</v>
      </c>
    </row>
    <row r="70" spans="1:10" x14ac:dyDescent="0.3">
      <c r="A70" s="2">
        <v>45354</v>
      </c>
      <c r="B70" s="3">
        <v>2</v>
      </c>
      <c r="C70" s="3">
        <v>2</v>
      </c>
      <c r="D70">
        <v>96</v>
      </c>
      <c r="E70">
        <v>1935</v>
      </c>
      <c r="F70">
        <v>38</v>
      </c>
      <c r="G70" s="4">
        <f t="shared" si="0"/>
        <v>0.90909090909090906</v>
      </c>
      <c r="H70" s="3">
        <f t="shared" si="1"/>
        <v>0.96</v>
      </c>
      <c r="I70" s="4">
        <f t="shared" si="2"/>
        <v>0.9803617571059432</v>
      </c>
      <c r="J70" s="4">
        <f t="shared" si="3"/>
        <v>0.85558844256518674</v>
      </c>
    </row>
    <row r="71" spans="1:10" x14ac:dyDescent="0.3">
      <c r="A71" s="2">
        <v>45355</v>
      </c>
      <c r="B71" s="3">
        <v>1</v>
      </c>
      <c r="C71" s="3">
        <v>1</v>
      </c>
      <c r="D71">
        <v>97</v>
      </c>
      <c r="E71">
        <v>1899</v>
      </c>
      <c r="F71">
        <v>41</v>
      </c>
      <c r="G71" s="4">
        <f t="shared" si="0"/>
        <v>0.95652173913043481</v>
      </c>
      <c r="H71" s="3">
        <f t="shared" si="1"/>
        <v>0.97</v>
      </c>
      <c r="I71" s="4">
        <f t="shared" si="2"/>
        <v>0.97840968931016326</v>
      </c>
      <c r="J71" s="4">
        <f t="shared" si="3"/>
        <v>0.90779403347299492</v>
      </c>
    </row>
    <row r="72" spans="1:10" x14ac:dyDescent="0.3">
      <c r="A72" s="2">
        <v>45356</v>
      </c>
      <c r="B72" s="3">
        <v>2</v>
      </c>
      <c r="C72" s="3">
        <v>1</v>
      </c>
      <c r="D72">
        <v>100</v>
      </c>
      <c r="E72">
        <v>2080</v>
      </c>
      <c r="F72">
        <v>37</v>
      </c>
      <c r="G72" s="4">
        <f t="shared" ref="G72:G135" si="4">($G$3-B72-C72)/($G$3-B72)</f>
        <v>0.95454545454545459</v>
      </c>
      <c r="H72" s="3">
        <f t="shared" si="1"/>
        <v>1</v>
      </c>
      <c r="I72" s="4">
        <f t="shared" si="2"/>
        <v>0.98221153846153841</v>
      </c>
      <c r="J72" s="4">
        <f t="shared" si="3"/>
        <v>0.93756555944055942</v>
      </c>
    </row>
    <row r="73" spans="1:10" x14ac:dyDescent="0.3">
      <c r="A73" s="2">
        <v>45357</v>
      </c>
      <c r="B73" s="3">
        <v>3</v>
      </c>
      <c r="C73" s="3">
        <v>2</v>
      </c>
      <c r="D73">
        <v>95</v>
      </c>
      <c r="E73">
        <v>1908</v>
      </c>
      <c r="F73">
        <v>51</v>
      </c>
      <c r="G73" s="4">
        <f t="shared" si="4"/>
        <v>0.90476190476190477</v>
      </c>
      <c r="H73" s="3">
        <f t="shared" ref="H73:H136" si="5">D73/$G$4</f>
        <v>0.95</v>
      </c>
      <c r="I73" s="4">
        <f t="shared" ref="I73:I136" si="6">(E73-F73)/E73</f>
        <v>0.97327044025157228</v>
      </c>
      <c r="J73" s="4">
        <f t="shared" ref="J73:J136" si="7">G73*H73*I73</f>
        <v>0.83654911650194663</v>
      </c>
    </row>
    <row r="74" spans="1:10" x14ac:dyDescent="0.3">
      <c r="A74" s="2">
        <v>45358</v>
      </c>
      <c r="B74" s="3">
        <v>3</v>
      </c>
      <c r="C74" s="3">
        <v>1</v>
      </c>
      <c r="D74">
        <v>85</v>
      </c>
      <c r="E74">
        <v>2166</v>
      </c>
      <c r="F74">
        <v>21</v>
      </c>
      <c r="G74" s="4">
        <f t="shared" si="4"/>
        <v>0.95238095238095233</v>
      </c>
      <c r="H74" s="3">
        <f t="shared" si="5"/>
        <v>0.85</v>
      </c>
      <c r="I74" s="4">
        <f t="shared" si="6"/>
        <v>0.99030470914127422</v>
      </c>
      <c r="J74" s="4">
        <f t="shared" si="7"/>
        <v>0.80167524073341234</v>
      </c>
    </row>
    <row r="75" spans="1:10" x14ac:dyDescent="0.3">
      <c r="A75" s="2">
        <v>45359</v>
      </c>
      <c r="B75" s="3">
        <v>2</v>
      </c>
      <c r="C75" s="3">
        <v>1</v>
      </c>
      <c r="D75">
        <v>86</v>
      </c>
      <c r="E75">
        <v>1950</v>
      </c>
      <c r="F75">
        <v>26</v>
      </c>
      <c r="G75" s="4">
        <f t="shared" si="4"/>
        <v>0.95454545454545459</v>
      </c>
      <c r="H75" s="3">
        <f t="shared" si="5"/>
        <v>0.86</v>
      </c>
      <c r="I75" s="4">
        <f t="shared" si="6"/>
        <v>0.98666666666666669</v>
      </c>
      <c r="J75" s="4">
        <f t="shared" si="7"/>
        <v>0.80996363636363644</v>
      </c>
    </row>
    <row r="76" spans="1:10" x14ac:dyDescent="0.3">
      <c r="A76" s="2">
        <v>45360</v>
      </c>
      <c r="B76" s="3">
        <v>2</v>
      </c>
      <c r="C76" s="3">
        <v>1</v>
      </c>
      <c r="D76">
        <v>96</v>
      </c>
      <c r="E76">
        <v>1916</v>
      </c>
      <c r="F76">
        <v>34</v>
      </c>
      <c r="G76" s="4">
        <f t="shared" si="4"/>
        <v>0.95454545454545459</v>
      </c>
      <c r="H76" s="3">
        <f t="shared" si="5"/>
        <v>0.96</v>
      </c>
      <c r="I76" s="4">
        <f t="shared" si="6"/>
        <v>0.98225469728601256</v>
      </c>
      <c r="J76" s="4">
        <f t="shared" si="7"/>
        <v>0.90010248624027334</v>
      </c>
    </row>
    <row r="77" spans="1:10" x14ac:dyDescent="0.3">
      <c r="A77" s="2">
        <v>45361</v>
      </c>
      <c r="B77" s="3">
        <v>1</v>
      </c>
      <c r="C77" s="3">
        <v>2</v>
      </c>
      <c r="D77">
        <v>94</v>
      </c>
      <c r="E77">
        <v>2079</v>
      </c>
      <c r="F77">
        <v>52</v>
      </c>
      <c r="G77" s="4">
        <f t="shared" si="4"/>
        <v>0.91304347826086951</v>
      </c>
      <c r="H77" s="3">
        <f t="shared" si="5"/>
        <v>0.94</v>
      </c>
      <c r="I77" s="4">
        <f t="shared" si="6"/>
        <v>0.97498797498797496</v>
      </c>
      <c r="J77" s="4">
        <f t="shared" si="7"/>
        <v>0.83679402722880969</v>
      </c>
    </row>
    <row r="78" spans="1:10" x14ac:dyDescent="0.3">
      <c r="A78" s="2">
        <v>45362</v>
      </c>
      <c r="B78" s="3">
        <v>3</v>
      </c>
      <c r="C78" s="3">
        <v>2</v>
      </c>
      <c r="D78">
        <v>93</v>
      </c>
      <c r="E78">
        <v>2207</v>
      </c>
      <c r="F78">
        <v>45</v>
      </c>
      <c r="G78" s="4">
        <f t="shared" si="4"/>
        <v>0.90476190476190477</v>
      </c>
      <c r="H78" s="3">
        <f t="shared" si="5"/>
        <v>0.93</v>
      </c>
      <c r="I78" s="4">
        <f t="shared" si="6"/>
        <v>0.97961033076574533</v>
      </c>
      <c r="J78" s="4">
        <f t="shared" si="7"/>
        <v>0.8242721211728915</v>
      </c>
    </row>
    <row r="79" spans="1:10" x14ac:dyDescent="0.3">
      <c r="A79" s="2">
        <v>45363</v>
      </c>
      <c r="B79" s="3">
        <v>3</v>
      </c>
      <c r="C79" s="3">
        <v>2</v>
      </c>
      <c r="D79">
        <v>99</v>
      </c>
      <c r="E79">
        <v>1778</v>
      </c>
      <c r="F79">
        <v>27</v>
      </c>
      <c r="G79" s="4">
        <f t="shared" si="4"/>
        <v>0.90476190476190477</v>
      </c>
      <c r="H79" s="3">
        <f t="shared" si="5"/>
        <v>0.99</v>
      </c>
      <c r="I79" s="4">
        <f t="shared" si="6"/>
        <v>0.98481439820022498</v>
      </c>
      <c r="J79" s="4">
        <f t="shared" si="7"/>
        <v>0.88211232524505867</v>
      </c>
    </row>
    <row r="80" spans="1:10" x14ac:dyDescent="0.3">
      <c r="A80" s="2">
        <v>45364</v>
      </c>
      <c r="B80" s="3">
        <v>2</v>
      </c>
      <c r="C80" s="3">
        <v>3</v>
      </c>
      <c r="D80">
        <v>84</v>
      </c>
      <c r="E80">
        <v>1995</v>
      </c>
      <c r="F80">
        <v>24</v>
      </c>
      <c r="G80" s="4">
        <f t="shared" si="4"/>
        <v>0.86363636363636365</v>
      </c>
      <c r="H80" s="3">
        <f t="shared" si="5"/>
        <v>0.84</v>
      </c>
      <c r="I80" s="4">
        <f t="shared" si="6"/>
        <v>0.98796992481203005</v>
      </c>
      <c r="J80" s="4">
        <f t="shared" si="7"/>
        <v>0.71672727272727277</v>
      </c>
    </row>
    <row r="81" spans="1:10" x14ac:dyDescent="0.3">
      <c r="A81" s="2">
        <v>45365</v>
      </c>
      <c r="B81" s="3">
        <v>2</v>
      </c>
      <c r="C81" s="3">
        <v>3</v>
      </c>
      <c r="D81">
        <v>87</v>
      </c>
      <c r="E81">
        <v>1844</v>
      </c>
      <c r="F81">
        <v>50</v>
      </c>
      <c r="G81" s="4">
        <f t="shared" si="4"/>
        <v>0.86363636363636365</v>
      </c>
      <c r="H81" s="3">
        <f t="shared" si="5"/>
        <v>0.87</v>
      </c>
      <c r="I81" s="4">
        <f t="shared" si="6"/>
        <v>0.97288503253796099</v>
      </c>
      <c r="J81" s="4">
        <f t="shared" si="7"/>
        <v>0.73099043581147705</v>
      </c>
    </row>
    <row r="82" spans="1:10" x14ac:dyDescent="0.3">
      <c r="A82" s="2">
        <v>45366</v>
      </c>
      <c r="B82" s="3">
        <v>3</v>
      </c>
      <c r="C82" s="3">
        <v>2</v>
      </c>
      <c r="D82">
        <v>81</v>
      </c>
      <c r="E82">
        <v>2103</v>
      </c>
      <c r="F82">
        <v>56</v>
      </c>
      <c r="G82" s="4">
        <f t="shared" si="4"/>
        <v>0.90476190476190477</v>
      </c>
      <c r="H82" s="3">
        <f t="shared" si="5"/>
        <v>0.81</v>
      </c>
      <c r="I82" s="4">
        <f t="shared" si="6"/>
        <v>0.97337137422729436</v>
      </c>
      <c r="J82" s="4">
        <f t="shared" si="7"/>
        <v>0.71334216425514574</v>
      </c>
    </row>
    <row r="83" spans="1:10" x14ac:dyDescent="0.3">
      <c r="A83" s="2">
        <v>45367</v>
      </c>
      <c r="B83" s="3">
        <v>2</v>
      </c>
      <c r="C83" s="3">
        <v>3</v>
      </c>
      <c r="D83">
        <v>85</v>
      </c>
      <c r="E83">
        <v>1984</v>
      </c>
      <c r="F83">
        <v>25</v>
      </c>
      <c r="G83" s="4">
        <f t="shared" si="4"/>
        <v>0.86363636363636365</v>
      </c>
      <c r="H83" s="3">
        <f t="shared" si="5"/>
        <v>0.85</v>
      </c>
      <c r="I83" s="4">
        <f t="shared" si="6"/>
        <v>0.98739919354838712</v>
      </c>
      <c r="J83" s="4">
        <f t="shared" si="7"/>
        <v>0.72484077162756599</v>
      </c>
    </row>
    <row r="84" spans="1:10" x14ac:dyDescent="0.3">
      <c r="A84" s="2">
        <v>45368</v>
      </c>
      <c r="B84" s="3">
        <v>2</v>
      </c>
      <c r="C84" s="3">
        <v>2</v>
      </c>
      <c r="D84">
        <v>83</v>
      </c>
      <c r="E84">
        <v>2102</v>
      </c>
      <c r="F84">
        <v>38</v>
      </c>
      <c r="G84" s="4">
        <f t="shared" si="4"/>
        <v>0.90909090909090906</v>
      </c>
      <c r="H84" s="3">
        <f t="shared" si="5"/>
        <v>0.83</v>
      </c>
      <c r="I84" s="4">
        <f t="shared" si="6"/>
        <v>0.98192197906755474</v>
      </c>
      <c r="J84" s="4">
        <f t="shared" si="7"/>
        <v>0.74090476602370037</v>
      </c>
    </row>
    <row r="85" spans="1:10" x14ac:dyDescent="0.3">
      <c r="A85" s="2">
        <v>45369</v>
      </c>
      <c r="B85" s="3">
        <v>1</v>
      </c>
      <c r="C85" s="3">
        <v>1</v>
      </c>
      <c r="D85">
        <v>96</v>
      </c>
      <c r="E85">
        <v>2084</v>
      </c>
      <c r="F85">
        <v>39</v>
      </c>
      <c r="G85" s="4">
        <f t="shared" si="4"/>
        <v>0.95652173913043481</v>
      </c>
      <c r="H85" s="3">
        <f t="shared" si="5"/>
        <v>0.96</v>
      </c>
      <c r="I85" s="4">
        <f t="shared" si="6"/>
        <v>0.9812859884836852</v>
      </c>
      <c r="J85" s="4">
        <f t="shared" si="7"/>
        <v>0.9010765250771926</v>
      </c>
    </row>
    <row r="86" spans="1:10" x14ac:dyDescent="0.3">
      <c r="A86" s="2">
        <v>45370</v>
      </c>
      <c r="B86" s="3">
        <v>2</v>
      </c>
      <c r="C86" s="3">
        <v>3</v>
      </c>
      <c r="D86">
        <v>97</v>
      </c>
      <c r="E86">
        <v>1762</v>
      </c>
      <c r="F86">
        <v>54</v>
      </c>
      <c r="G86" s="4">
        <f t="shared" si="4"/>
        <v>0.86363636363636365</v>
      </c>
      <c r="H86" s="3">
        <f t="shared" si="5"/>
        <v>0.97</v>
      </c>
      <c r="I86" s="4">
        <f t="shared" si="6"/>
        <v>0.96935300794551649</v>
      </c>
      <c r="J86" s="4">
        <f t="shared" si="7"/>
        <v>0.81205345165617593</v>
      </c>
    </row>
    <row r="87" spans="1:10" x14ac:dyDescent="0.3">
      <c r="A87" s="2">
        <v>45371</v>
      </c>
      <c r="B87" s="3">
        <v>3</v>
      </c>
      <c r="C87" s="3">
        <v>2</v>
      </c>
      <c r="D87">
        <v>96</v>
      </c>
      <c r="E87">
        <v>2276</v>
      </c>
      <c r="F87">
        <v>35</v>
      </c>
      <c r="G87" s="4">
        <f t="shared" si="4"/>
        <v>0.90476190476190477</v>
      </c>
      <c r="H87" s="3">
        <f t="shared" si="5"/>
        <v>0.96</v>
      </c>
      <c r="I87" s="4">
        <f t="shared" si="6"/>
        <v>0.98462214411247806</v>
      </c>
      <c r="J87" s="4">
        <f t="shared" si="7"/>
        <v>0.85521466231483811</v>
      </c>
    </row>
    <row r="88" spans="1:10" x14ac:dyDescent="0.3">
      <c r="A88" s="2">
        <v>45372</v>
      </c>
      <c r="B88" s="3">
        <v>2</v>
      </c>
      <c r="C88" s="3">
        <v>3</v>
      </c>
      <c r="D88">
        <v>85</v>
      </c>
      <c r="E88">
        <v>1823</v>
      </c>
      <c r="F88">
        <v>46</v>
      </c>
      <c r="G88" s="4">
        <f t="shared" si="4"/>
        <v>0.86363636363636365</v>
      </c>
      <c r="H88" s="3">
        <f t="shared" si="5"/>
        <v>0.85</v>
      </c>
      <c r="I88" s="4">
        <f t="shared" si="6"/>
        <v>0.97476686780032917</v>
      </c>
      <c r="J88" s="4">
        <f t="shared" si="7"/>
        <v>0.71556749613524173</v>
      </c>
    </row>
    <row r="89" spans="1:10" x14ac:dyDescent="0.3">
      <c r="A89" s="2">
        <v>45373</v>
      </c>
      <c r="B89" s="3">
        <v>3</v>
      </c>
      <c r="C89" s="3">
        <v>3</v>
      </c>
      <c r="D89">
        <v>95</v>
      </c>
      <c r="E89">
        <v>2108</v>
      </c>
      <c r="F89">
        <v>43</v>
      </c>
      <c r="G89" s="4">
        <f t="shared" si="4"/>
        <v>0.8571428571428571</v>
      </c>
      <c r="H89" s="3">
        <f t="shared" si="5"/>
        <v>0.95</v>
      </c>
      <c r="I89" s="4">
        <f t="shared" si="6"/>
        <v>0.97960151802656548</v>
      </c>
      <c r="J89" s="4">
        <f t="shared" si="7"/>
        <v>0.79767552182163182</v>
      </c>
    </row>
    <row r="90" spans="1:10" x14ac:dyDescent="0.3">
      <c r="A90" s="2">
        <v>45374</v>
      </c>
      <c r="B90" s="3">
        <v>3</v>
      </c>
      <c r="C90" s="3">
        <v>2</v>
      </c>
      <c r="D90">
        <v>92</v>
      </c>
      <c r="E90">
        <v>2090</v>
      </c>
      <c r="F90">
        <v>44</v>
      </c>
      <c r="G90" s="4">
        <f t="shared" si="4"/>
        <v>0.90476190476190477</v>
      </c>
      <c r="H90" s="3">
        <f t="shared" si="5"/>
        <v>0.92</v>
      </c>
      <c r="I90" s="4">
        <f t="shared" si="6"/>
        <v>0.97894736842105268</v>
      </c>
      <c r="J90" s="4">
        <f t="shared" si="7"/>
        <v>0.81485714285714295</v>
      </c>
    </row>
    <row r="91" spans="1:10" x14ac:dyDescent="0.3">
      <c r="A91" s="2">
        <v>45375</v>
      </c>
      <c r="B91" s="3">
        <v>3</v>
      </c>
      <c r="C91" s="3">
        <v>1</v>
      </c>
      <c r="D91">
        <v>100</v>
      </c>
      <c r="E91">
        <v>2240</v>
      </c>
      <c r="F91">
        <v>30</v>
      </c>
      <c r="G91" s="4">
        <f t="shared" si="4"/>
        <v>0.95238095238095233</v>
      </c>
      <c r="H91" s="3">
        <f t="shared" si="5"/>
        <v>1</v>
      </c>
      <c r="I91" s="4">
        <f t="shared" si="6"/>
        <v>0.9866071428571429</v>
      </c>
      <c r="J91" s="4">
        <f t="shared" si="7"/>
        <v>0.93962585034013602</v>
      </c>
    </row>
    <row r="92" spans="1:10" x14ac:dyDescent="0.3">
      <c r="A92" s="2">
        <v>45376</v>
      </c>
      <c r="B92" s="3">
        <v>2</v>
      </c>
      <c r="C92" s="3">
        <v>3</v>
      </c>
      <c r="D92">
        <v>99</v>
      </c>
      <c r="E92">
        <v>2147</v>
      </c>
      <c r="F92">
        <v>23</v>
      </c>
      <c r="G92" s="4">
        <f t="shared" si="4"/>
        <v>0.86363636363636365</v>
      </c>
      <c r="H92" s="3">
        <f t="shared" si="5"/>
        <v>0.99</v>
      </c>
      <c r="I92" s="4">
        <f t="shared" si="6"/>
        <v>0.98928737773637632</v>
      </c>
      <c r="J92" s="4">
        <f t="shared" si="7"/>
        <v>0.84584070796460176</v>
      </c>
    </row>
    <row r="93" spans="1:10" x14ac:dyDescent="0.3">
      <c r="A93" s="2">
        <v>45377</v>
      </c>
      <c r="B93" s="3">
        <v>1</v>
      </c>
      <c r="C93" s="3">
        <v>1</v>
      </c>
      <c r="D93">
        <v>98</v>
      </c>
      <c r="E93">
        <v>2256</v>
      </c>
      <c r="F93">
        <v>25</v>
      </c>
      <c r="G93" s="4">
        <f t="shared" si="4"/>
        <v>0.95652173913043481</v>
      </c>
      <c r="H93" s="3">
        <f t="shared" si="5"/>
        <v>0.98</v>
      </c>
      <c r="I93" s="4">
        <f t="shared" si="6"/>
        <v>0.9889184397163121</v>
      </c>
      <c r="J93" s="4">
        <f t="shared" si="7"/>
        <v>0.92700354609929092</v>
      </c>
    </row>
    <row r="94" spans="1:10" x14ac:dyDescent="0.3">
      <c r="A94" s="2">
        <v>45378</v>
      </c>
      <c r="B94" s="3">
        <v>3</v>
      </c>
      <c r="C94" s="3">
        <v>1</v>
      </c>
      <c r="D94">
        <v>98</v>
      </c>
      <c r="E94">
        <v>1822</v>
      </c>
      <c r="F94">
        <v>37</v>
      </c>
      <c r="G94" s="4">
        <f t="shared" si="4"/>
        <v>0.95238095238095233</v>
      </c>
      <c r="H94" s="3">
        <f t="shared" si="5"/>
        <v>0.98</v>
      </c>
      <c r="I94" s="4">
        <f t="shared" si="6"/>
        <v>0.97969264544456636</v>
      </c>
      <c r="J94" s="4">
        <f t="shared" si="7"/>
        <v>0.91437980241492856</v>
      </c>
    </row>
    <row r="95" spans="1:10" x14ac:dyDescent="0.3">
      <c r="A95" s="2">
        <v>45379</v>
      </c>
      <c r="B95" s="3">
        <v>1</v>
      </c>
      <c r="C95" s="3">
        <v>2</v>
      </c>
      <c r="D95">
        <v>80</v>
      </c>
      <c r="E95">
        <v>1732</v>
      </c>
      <c r="F95">
        <v>50</v>
      </c>
      <c r="G95" s="4">
        <f t="shared" si="4"/>
        <v>0.91304347826086951</v>
      </c>
      <c r="H95" s="3">
        <f t="shared" si="5"/>
        <v>0.8</v>
      </c>
      <c r="I95" s="4">
        <f t="shared" si="6"/>
        <v>0.97113163972286376</v>
      </c>
      <c r="J95" s="4">
        <f t="shared" si="7"/>
        <v>0.70934832814539617</v>
      </c>
    </row>
    <row r="96" spans="1:10" x14ac:dyDescent="0.3">
      <c r="A96" s="2">
        <v>45380</v>
      </c>
      <c r="B96" s="3">
        <v>2</v>
      </c>
      <c r="C96" s="3">
        <v>1</v>
      </c>
      <c r="D96">
        <v>95</v>
      </c>
      <c r="E96">
        <v>1795</v>
      </c>
      <c r="F96">
        <v>44</v>
      </c>
      <c r="G96" s="4">
        <f t="shared" si="4"/>
        <v>0.95454545454545459</v>
      </c>
      <c r="H96" s="3">
        <f t="shared" si="5"/>
        <v>0.95</v>
      </c>
      <c r="I96" s="4">
        <f t="shared" si="6"/>
        <v>0.97548746518105844</v>
      </c>
      <c r="J96" s="4">
        <f t="shared" si="7"/>
        <v>0.88458976956191437</v>
      </c>
    </row>
    <row r="97" spans="1:10" x14ac:dyDescent="0.3">
      <c r="A97" s="2">
        <v>45381</v>
      </c>
      <c r="B97" s="3">
        <v>1</v>
      </c>
      <c r="C97" s="3">
        <v>2</v>
      </c>
      <c r="D97">
        <v>85</v>
      </c>
      <c r="E97">
        <v>1744</v>
      </c>
      <c r="F97">
        <v>35</v>
      </c>
      <c r="G97" s="4">
        <f t="shared" si="4"/>
        <v>0.91304347826086951</v>
      </c>
      <c r="H97" s="3">
        <f t="shared" si="5"/>
        <v>0.85</v>
      </c>
      <c r="I97" s="4">
        <f t="shared" si="6"/>
        <v>0.97993119266055051</v>
      </c>
      <c r="J97" s="4">
        <f t="shared" si="7"/>
        <v>0.76051181691264458</v>
      </c>
    </row>
    <row r="98" spans="1:10" x14ac:dyDescent="0.3">
      <c r="A98" s="2">
        <v>45382</v>
      </c>
      <c r="B98" s="3">
        <v>2</v>
      </c>
      <c r="C98" s="3">
        <v>1</v>
      </c>
      <c r="D98">
        <v>84</v>
      </c>
      <c r="E98">
        <v>2061</v>
      </c>
      <c r="F98">
        <v>60</v>
      </c>
      <c r="G98" s="4">
        <f t="shared" si="4"/>
        <v>0.95454545454545459</v>
      </c>
      <c r="H98" s="3">
        <f t="shared" si="5"/>
        <v>0.84</v>
      </c>
      <c r="I98" s="4">
        <f t="shared" si="6"/>
        <v>0.97088791848617173</v>
      </c>
      <c r="J98" s="4">
        <f t="shared" si="7"/>
        <v>0.77847558554982144</v>
      </c>
    </row>
    <row r="99" spans="1:10" x14ac:dyDescent="0.3">
      <c r="A99" s="2">
        <v>45383</v>
      </c>
      <c r="B99" s="3">
        <v>3</v>
      </c>
      <c r="C99" s="3">
        <v>1</v>
      </c>
      <c r="D99">
        <v>99</v>
      </c>
      <c r="E99">
        <v>1879</v>
      </c>
      <c r="F99">
        <v>21</v>
      </c>
      <c r="G99" s="4">
        <f t="shared" si="4"/>
        <v>0.95238095238095233</v>
      </c>
      <c r="H99" s="3">
        <f t="shared" si="5"/>
        <v>0.99</v>
      </c>
      <c r="I99" s="4">
        <f t="shared" si="6"/>
        <v>0.98882384246939858</v>
      </c>
      <c r="J99" s="4">
        <f t="shared" si="7"/>
        <v>0.93231962289971859</v>
      </c>
    </row>
    <row r="100" spans="1:10" x14ac:dyDescent="0.3">
      <c r="A100" s="2">
        <v>45384</v>
      </c>
      <c r="B100" s="3">
        <v>1</v>
      </c>
      <c r="C100" s="3">
        <v>1</v>
      </c>
      <c r="D100">
        <v>99</v>
      </c>
      <c r="E100">
        <v>1779</v>
      </c>
      <c r="F100">
        <v>58</v>
      </c>
      <c r="G100" s="4">
        <f t="shared" si="4"/>
        <v>0.95652173913043481</v>
      </c>
      <c r="H100" s="3">
        <f t="shared" si="5"/>
        <v>0.99</v>
      </c>
      <c r="I100" s="4">
        <f t="shared" si="6"/>
        <v>0.96739741427768411</v>
      </c>
      <c r="J100" s="4">
        <f t="shared" si="7"/>
        <v>0.91608329056382443</v>
      </c>
    </row>
    <row r="101" spans="1:10" x14ac:dyDescent="0.3">
      <c r="A101" s="2">
        <v>45385</v>
      </c>
      <c r="B101" s="3">
        <v>1</v>
      </c>
      <c r="C101" s="3">
        <v>1</v>
      </c>
      <c r="D101">
        <v>99</v>
      </c>
      <c r="E101">
        <v>1746</v>
      </c>
      <c r="F101">
        <v>24</v>
      </c>
      <c r="G101" s="4">
        <f t="shared" si="4"/>
        <v>0.95652173913043481</v>
      </c>
      <c r="H101" s="3">
        <f t="shared" si="5"/>
        <v>0.99</v>
      </c>
      <c r="I101" s="4">
        <f t="shared" si="6"/>
        <v>0.9862542955326461</v>
      </c>
      <c r="J101" s="4">
        <f t="shared" si="7"/>
        <v>0.93393993724787094</v>
      </c>
    </row>
    <row r="102" spans="1:10" x14ac:dyDescent="0.3">
      <c r="A102" s="2">
        <v>45386</v>
      </c>
      <c r="B102" s="3">
        <v>3</v>
      </c>
      <c r="C102" s="3">
        <v>2</v>
      </c>
      <c r="D102">
        <v>96</v>
      </c>
      <c r="E102">
        <v>2161</v>
      </c>
      <c r="F102">
        <v>35</v>
      </c>
      <c r="G102" s="4">
        <f t="shared" si="4"/>
        <v>0.90476190476190477</v>
      </c>
      <c r="H102" s="3">
        <f t="shared" si="5"/>
        <v>0.96</v>
      </c>
      <c r="I102" s="4">
        <f t="shared" si="6"/>
        <v>0.98380379453956501</v>
      </c>
      <c r="J102" s="4">
        <f t="shared" si="7"/>
        <v>0.85450386725722216</v>
      </c>
    </row>
    <row r="103" spans="1:10" x14ac:dyDescent="0.3">
      <c r="A103" s="2">
        <v>45387</v>
      </c>
      <c r="B103" s="3">
        <v>2</v>
      </c>
      <c r="C103" s="3">
        <v>3</v>
      </c>
      <c r="D103">
        <v>86</v>
      </c>
      <c r="E103">
        <v>2022</v>
      </c>
      <c r="F103">
        <v>58</v>
      </c>
      <c r="G103" s="4">
        <f t="shared" si="4"/>
        <v>0.86363636363636365</v>
      </c>
      <c r="H103" s="3">
        <f t="shared" si="5"/>
        <v>0.86</v>
      </c>
      <c r="I103" s="4">
        <f t="shared" si="6"/>
        <v>0.97131552917903063</v>
      </c>
      <c r="J103" s="4">
        <f t="shared" si="7"/>
        <v>0.72142253394478906</v>
      </c>
    </row>
    <row r="104" spans="1:10" x14ac:dyDescent="0.3">
      <c r="A104" s="2">
        <v>45388</v>
      </c>
      <c r="B104" s="3">
        <v>2</v>
      </c>
      <c r="C104" s="3">
        <v>3</v>
      </c>
      <c r="D104">
        <v>80</v>
      </c>
      <c r="E104">
        <v>2257</v>
      </c>
      <c r="F104">
        <v>32</v>
      </c>
      <c r="G104" s="4">
        <f t="shared" si="4"/>
        <v>0.86363636363636365</v>
      </c>
      <c r="H104" s="3">
        <f t="shared" si="5"/>
        <v>0.8</v>
      </c>
      <c r="I104" s="4">
        <f t="shared" si="6"/>
        <v>0.98582188746123167</v>
      </c>
      <c r="J104" s="4">
        <f t="shared" si="7"/>
        <v>0.68111330406412374</v>
      </c>
    </row>
    <row r="105" spans="1:10" x14ac:dyDescent="0.3">
      <c r="A105" s="2">
        <v>45389</v>
      </c>
      <c r="B105" s="3">
        <v>2</v>
      </c>
      <c r="C105" s="3">
        <v>3</v>
      </c>
      <c r="D105">
        <v>91</v>
      </c>
      <c r="E105">
        <v>1788</v>
      </c>
      <c r="F105">
        <v>55</v>
      </c>
      <c r="G105" s="4">
        <f t="shared" si="4"/>
        <v>0.86363636363636365</v>
      </c>
      <c r="H105" s="3">
        <f t="shared" si="5"/>
        <v>0.91</v>
      </c>
      <c r="I105" s="4">
        <f t="shared" si="6"/>
        <v>0.96923937360178969</v>
      </c>
      <c r="J105" s="4">
        <f t="shared" si="7"/>
        <v>0.76173403498067926</v>
      </c>
    </row>
    <row r="106" spans="1:10" x14ac:dyDescent="0.3">
      <c r="A106" s="2">
        <v>45390</v>
      </c>
      <c r="B106" s="3">
        <v>3</v>
      </c>
      <c r="C106" s="3">
        <v>3</v>
      </c>
      <c r="D106">
        <v>96</v>
      </c>
      <c r="E106">
        <v>1827</v>
      </c>
      <c r="F106">
        <v>44</v>
      </c>
      <c r="G106" s="4">
        <f t="shared" si="4"/>
        <v>0.8571428571428571</v>
      </c>
      <c r="H106" s="3">
        <f t="shared" si="5"/>
        <v>0.96</v>
      </c>
      <c r="I106" s="4">
        <f t="shared" si="6"/>
        <v>0.97591680350301035</v>
      </c>
      <c r="J106" s="4">
        <f t="shared" si="7"/>
        <v>0.80304011259676267</v>
      </c>
    </row>
    <row r="107" spans="1:10" x14ac:dyDescent="0.3">
      <c r="A107" s="2">
        <v>45391</v>
      </c>
      <c r="B107" s="3">
        <v>2</v>
      </c>
      <c r="C107" s="3">
        <v>3</v>
      </c>
      <c r="D107">
        <v>88</v>
      </c>
      <c r="E107">
        <v>1873</v>
      </c>
      <c r="F107">
        <v>49</v>
      </c>
      <c r="G107" s="4">
        <f t="shared" si="4"/>
        <v>0.86363636363636365</v>
      </c>
      <c r="H107" s="3">
        <f t="shared" si="5"/>
        <v>0.88</v>
      </c>
      <c r="I107" s="4">
        <f t="shared" si="6"/>
        <v>0.97383876134543512</v>
      </c>
      <c r="J107" s="4">
        <f t="shared" si="7"/>
        <v>0.74011745862253076</v>
      </c>
    </row>
    <row r="108" spans="1:10" x14ac:dyDescent="0.3">
      <c r="A108" s="2">
        <v>45392</v>
      </c>
      <c r="B108" s="3">
        <v>2</v>
      </c>
      <c r="C108" s="3">
        <v>3</v>
      </c>
      <c r="D108">
        <v>96</v>
      </c>
      <c r="E108">
        <v>1776</v>
      </c>
      <c r="F108">
        <v>32</v>
      </c>
      <c r="G108" s="4">
        <f t="shared" si="4"/>
        <v>0.86363636363636365</v>
      </c>
      <c r="H108" s="3">
        <f t="shared" si="5"/>
        <v>0.96</v>
      </c>
      <c r="I108" s="4">
        <f t="shared" si="6"/>
        <v>0.98198198198198194</v>
      </c>
      <c r="J108" s="4">
        <f t="shared" si="7"/>
        <v>0.81415233415233412</v>
      </c>
    </row>
    <row r="109" spans="1:10" x14ac:dyDescent="0.3">
      <c r="A109" s="2">
        <v>45393</v>
      </c>
      <c r="B109" s="3">
        <v>3</v>
      </c>
      <c r="C109" s="3">
        <v>3</v>
      </c>
      <c r="D109">
        <v>91</v>
      </c>
      <c r="E109">
        <v>2060</v>
      </c>
      <c r="F109">
        <v>36</v>
      </c>
      <c r="G109" s="4">
        <f t="shared" si="4"/>
        <v>0.8571428571428571</v>
      </c>
      <c r="H109" s="3">
        <f t="shared" si="5"/>
        <v>0.91</v>
      </c>
      <c r="I109" s="4">
        <f t="shared" si="6"/>
        <v>0.98252427184466018</v>
      </c>
      <c r="J109" s="4">
        <f t="shared" si="7"/>
        <v>0.76636893203883494</v>
      </c>
    </row>
    <row r="110" spans="1:10" x14ac:dyDescent="0.3">
      <c r="A110" s="2">
        <v>45394</v>
      </c>
      <c r="B110" s="3">
        <v>1</v>
      </c>
      <c r="C110" s="3">
        <v>2</v>
      </c>
      <c r="D110">
        <v>95</v>
      </c>
      <c r="E110">
        <v>1898</v>
      </c>
      <c r="F110">
        <v>21</v>
      </c>
      <c r="G110" s="4">
        <f t="shared" si="4"/>
        <v>0.91304347826086951</v>
      </c>
      <c r="H110" s="3">
        <f t="shared" si="5"/>
        <v>0.95</v>
      </c>
      <c r="I110" s="4">
        <f t="shared" si="6"/>
        <v>0.98893572181243417</v>
      </c>
      <c r="J110" s="4">
        <f t="shared" si="7"/>
        <v>0.85779424565904605</v>
      </c>
    </row>
    <row r="111" spans="1:10" x14ac:dyDescent="0.3">
      <c r="A111" s="2">
        <v>45395</v>
      </c>
      <c r="B111" s="3">
        <v>2</v>
      </c>
      <c r="C111" s="3">
        <v>1</v>
      </c>
      <c r="D111">
        <v>85</v>
      </c>
      <c r="E111">
        <v>1917</v>
      </c>
      <c r="F111">
        <v>44</v>
      </c>
      <c r="G111" s="4">
        <f t="shared" si="4"/>
        <v>0.95454545454545459</v>
      </c>
      <c r="H111" s="3">
        <f t="shared" si="5"/>
        <v>0.85</v>
      </c>
      <c r="I111" s="4">
        <f t="shared" si="6"/>
        <v>0.97704747000521652</v>
      </c>
      <c r="J111" s="4">
        <f t="shared" si="7"/>
        <v>0.79274078816332338</v>
      </c>
    </row>
    <row r="112" spans="1:10" x14ac:dyDescent="0.3">
      <c r="A112" s="2">
        <v>45396</v>
      </c>
      <c r="B112" s="3">
        <v>2</v>
      </c>
      <c r="C112" s="3">
        <v>2</v>
      </c>
      <c r="D112">
        <v>99</v>
      </c>
      <c r="E112">
        <v>2072</v>
      </c>
      <c r="F112">
        <v>24</v>
      </c>
      <c r="G112" s="4">
        <f t="shared" si="4"/>
        <v>0.90909090909090906</v>
      </c>
      <c r="H112" s="3">
        <f t="shared" si="5"/>
        <v>0.99</v>
      </c>
      <c r="I112" s="4">
        <f t="shared" si="6"/>
        <v>0.98841698841698844</v>
      </c>
      <c r="J112" s="4">
        <f t="shared" si="7"/>
        <v>0.88957528957528953</v>
      </c>
    </row>
    <row r="113" spans="1:10" x14ac:dyDescent="0.3">
      <c r="A113" s="2">
        <v>45397</v>
      </c>
      <c r="B113" s="3">
        <v>2</v>
      </c>
      <c r="C113" s="3">
        <v>1</v>
      </c>
      <c r="D113">
        <v>85</v>
      </c>
      <c r="E113">
        <v>2078</v>
      </c>
      <c r="F113">
        <v>36</v>
      </c>
      <c r="G113" s="4">
        <f t="shared" si="4"/>
        <v>0.95454545454545459</v>
      </c>
      <c r="H113" s="3">
        <f t="shared" si="5"/>
        <v>0.85</v>
      </c>
      <c r="I113" s="4">
        <f t="shared" si="6"/>
        <v>0.98267564966313758</v>
      </c>
      <c r="J113" s="4">
        <f t="shared" si="7"/>
        <v>0.79730728847668209</v>
      </c>
    </row>
    <row r="114" spans="1:10" x14ac:dyDescent="0.3">
      <c r="A114" s="2">
        <v>45398</v>
      </c>
      <c r="B114" s="3">
        <v>3</v>
      </c>
      <c r="C114" s="3">
        <v>2</v>
      </c>
      <c r="D114">
        <v>84</v>
      </c>
      <c r="E114">
        <v>1735</v>
      </c>
      <c r="F114">
        <v>35</v>
      </c>
      <c r="G114" s="4">
        <f t="shared" si="4"/>
        <v>0.90476190476190477</v>
      </c>
      <c r="H114" s="3">
        <f t="shared" si="5"/>
        <v>0.84</v>
      </c>
      <c r="I114" s="4">
        <f t="shared" si="6"/>
        <v>0.97982708933717577</v>
      </c>
      <c r="J114" s="4">
        <f t="shared" si="7"/>
        <v>0.74466858789625356</v>
      </c>
    </row>
    <row r="115" spans="1:10" x14ac:dyDescent="0.3">
      <c r="A115" s="2">
        <v>45399</v>
      </c>
      <c r="B115" s="3">
        <v>3</v>
      </c>
      <c r="C115" s="3">
        <v>1</v>
      </c>
      <c r="D115">
        <v>99</v>
      </c>
      <c r="E115">
        <v>2168</v>
      </c>
      <c r="F115">
        <v>56</v>
      </c>
      <c r="G115" s="4">
        <f t="shared" si="4"/>
        <v>0.95238095238095233</v>
      </c>
      <c r="H115" s="3">
        <f t="shared" si="5"/>
        <v>0.99</v>
      </c>
      <c r="I115" s="4">
        <f t="shared" si="6"/>
        <v>0.97416974169741699</v>
      </c>
      <c r="J115" s="4">
        <f t="shared" si="7"/>
        <v>0.91850289931470741</v>
      </c>
    </row>
    <row r="116" spans="1:10" x14ac:dyDescent="0.3">
      <c r="A116" s="2">
        <v>45400</v>
      </c>
      <c r="B116" s="3">
        <v>1</v>
      </c>
      <c r="C116" s="3">
        <v>2</v>
      </c>
      <c r="D116">
        <v>99</v>
      </c>
      <c r="E116">
        <v>1738</v>
      </c>
      <c r="F116">
        <v>50</v>
      </c>
      <c r="G116" s="4">
        <f t="shared" si="4"/>
        <v>0.91304347826086951</v>
      </c>
      <c r="H116" s="3">
        <f t="shared" si="5"/>
        <v>0.99</v>
      </c>
      <c r="I116" s="4">
        <f t="shared" si="6"/>
        <v>0.97123130034522442</v>
      </c>
      <c r="J116" s="4">
        <f t="shared" si="7"/>
        <v>0.87790864061640062</v>
      </c>
    </row>
    <row r="117" spans="1:10" x14ac:dyDescent="0.3">
      <c r="A117" s="2">
        <v>45401</v>
      </c>
      <c r="B117" s="3">
        <v>1</v>
      </c>
      <c r="C117" s="3">
        <v>1</v>
      </c>
      <c r="D117">
        <v>80</v>
      </c>
      <c r="E117">
        <v>2089</v>
      </c>
      <c r="F117">
        <v>41</v>
      </c>
      <c r="G117" s="4">
        <f t="shared" si="4"/>
        <v>0.95652173913043481</v>
      </c>
      <c r="H117" s="3">
        <f t="shared" si="5"/>
        <v>0.8</v>
      </c>
      <c r="I117" s="4">
        <f t="shared" si="6"/>
        <v>0.9803733843944471</v>
      </c>
      <c r="J117" s="4">
        <f t="shared" si="7"/>
        <v>0.75019876371053351</v>
      </c>
    </row>
    <row r="118" spans="1:10" x14ac:dyDescent="0.3">
      <c r="A118" s="2">
        <v>45402</v>
      </c>
      <c r="B118" s="3">
        <v>2</v>
      </c>
      <c r="C118" s="3">
        <v>3</v>
      </c>
      <c r="D118">
        <v>85</v>
      </c>
      <c r="E118">
        <v>1732</v>
      </c>
      <c r="F118">
        <v>45</v>
      </c>
      <c r="G118" s="4">
        <f t="shared" si="4"/>
        <v>0.86363636363636365</v>
      </c>
      <c r="H118" s="3">
        <f t="shared" si="5"/>
        <v>0.85</v>
      </c>
      <c r="I118" s="4">
        <f t="shared" si="6"/>
        <v>0.97401847575057732</v>
      </c>
      <c r="J118" s="4">
        <f t="shared" si="7"/>
        <v>0.71501810833508295</v>
      </c>
    </row>
    <row r="119" spans="1:10" x14ac:dyDescent="0.3">
      <c r="A119" s="2">
        <v>45403</v>
      </c>
      <c r="B119" s="3">
        <v>2</v>
      </c>
      <c r="C119" s="3">
        <v>2</v>
      </c>
      <c r="D119">
        <v>97</v>
      </c>
      <c r="E119">
        <v>1939</v>
      </c>
      <c r="F119">
        <v>37</v>
      </c>
      <c r="G119" s="4">
        <f t="shared" si="4"/>
        <v>0.90909090909090906</v>
      </c>
      <c r="H119" s="3">
        <f t="shared" si="5"/>
        <v>0.97</v>
      </c>
      <c r="I119" s="4">
        <f t="shared" si="6"/>
        <v>0.98091799896854048</v>
      </c>
      <c r="J119" s="4">
        <f t="shared" si="7"/>
        <v>0.86499132636316745</v>
      </c>
    </row>
    <row r="120" spans="1:10" x14ac:dyDescent="0.3">
      <c r="A120" s="2">
        <v>45404</v>
      </c>
      <c r="B120" s="3">
        <v>1</v>
      </c>
      <c r="C120" s="3">
        <v>3</v>
      </c>
      <c r="D120">
        <v>89</v>
      </c>
      <c r="E120">
        <v>1848</v>
      </c>
      <c r="F120">
        <v>26</v>
      </c>
      <c r="G120" s="4">
        <f t="shared" si="4"/>
        <v>0.86956521739130432</v>
      </c>
      <c r="H120" s="3">
        <f t="shared" si="5"/>
        <v>0.89</v>
      </c>
      <c r="I120" s="4">
        <f t="shared" si="6"/>
        <v>0.98593073593073588</v>
      </c>
      <c r="J120" s="4">
        <f t="shared" si="7"/>
        <v>0.76302465650291729</v>
      </c>
    </row>
    <row r="121" spans="1:10" x14ac:dyDescent="0.3">
      <c r="A121" s="2">
        <v>45405</v>
      </c>
      <c r="B121" s="3">
        <v>1</v>
      </c>
      <c r="C121" s="3">
        <v>1</v>
      </c>
      <c r="D121">
        <v>85</v>
      </c>
      <c r="E121">
        <v>1832</v>
      </c>
      <c r="F121">
        <v>60</v>
      </c>
      <c r="G121" s="4">
        <f t="shared" si="4"/>
        <v>0.95652173913043481</v>
      </c>
      <c r="H121" s="3">
        <f t="shared" si="5"/>
        <v>0.85</v>
      </c>
      <c r="I121" s="4">
        <f t="shared" si="6"/>
        <v>0.96724890829694321</v>
      </c>
      <c r="J121" s="4">
        <f t="shared" si="7"/>
        <v>0.78641541674577553</v>
      </c>
    </row>
    <row r="122" spans="1:10" x14ac:dyDescent="0.3">
      <c r="A122" s="2">
        <v>45406</v>
      </c>
      <c r="B122" s="3">
        <v>2</v>
      </c>
      <c r="C122" s="3">
        <v>1</v>
      </c>
      <c r="D122">
        <v>92</v>
      </c>
      <c r="E122">
        <v>2050</v>
      </c>
      <c r="F122">
        <v>51</v>
      </c>
      <c r="G122" s="4">
        <f t="shared" si="4"/>
        <v>0.95454545454545459</v>
      </c>
      <c r="H122" s="3">
        <f t="shared" si="5"/>
        <v>0.92</v>
      </c>
      <c r="I122" s="4">
        <f t="shared" si="6"/>
        <v>0.97512195121951217</v>
      </c>
      <c r="J122" s="4">
        <f t="shared" si="7"/>
        <v>0.85633436807095353</v>
      </c>
    </row>
    <row r="123" spans="1:10" x14ac:dyDescent="0.3">
      <c r="A123" s="2">
        <v>45407</v>
      </c>
      <c r="B123" s="3">
        <v>3</v>
      </c>
      <c r="C123" s="3">
        <v>3</v>
      </c>
      <c r="D123">
        <v>85</v>
      </c>
      <c r="E123">
        <v>2136</v>
      </c>
      <c r="F123">
        <v>43</v>
      </c>
      <c r="G123" s="4">
        <f t="shared" si="4"/>
        <v>0.8571428571428571</v>
      </c>
      <c r="H123" s="3">
        <f t="shared" si="5"/>
        <v>0.85</v>
      </c>
      <c r="I123" s="4">
        <f t="shared" si="6"/>
        <v>0.97986891385767794</v>
      </c>
      <c r="J123" s="4">
        <f t="shared" si="7"/>
        <v>0.71390449438202241</v>
      </c>
    </row>
    <row r="124" spans="1:10" x14ac:dyDescent="0.3">
      <c r="A124" s="2">
        <v>45408</v>
      </c>
      <c r="B124" s="3">
        <v>2</v>
      </c>
      <c r="C124" s="3">
        <v>1</v>
      </c>
      <c r="D124">
        <v>86</v>
      </c>
      <c r="E124">
        <v>1981</v>
      </c>
      <c r="F124">
        <v>47</v>
      </c>
      <c r="G124" s="4">
        <f t="shared" si="4"/>
        <v>0.95454545454545459</v>
      </c>
      <c r="H124" s="3">
        <f t="shared" si="5"/>
        <v>0.86</v>
      </c>
      <c r="I124" s="4">
        <f t="shared" si="6"/>
        <v>0.97627460878344274</v>
      </c>
      <c r="J124" s="4">
        <f t="shared" si="7"/>
        <v>0.80143270157404434</v>
      </c>
    </row>
    <row r="125" spans="1:10" x14ac:dyDescent="0.3">
      <c r="A125" s="2">
        <v>45409</v>
      </c>
      <c r="B125" s="3">
        <v>1</v>
      </c>
      <c r="C125" s="3">
        <v>3</v>
      </c>
      <c r="D125">
        <v>87</v>
      </c>
      <c r="E125">
        <v>1749</v>
      </c>
      <c r="F125">
        <v>49</v>
      </c>
      <c r="G125" s="4">
        <f t="shared" si="4"/>
        <v>0.86956521739130432</v>
      </c>
      <c r="H125" s="3">
        <f t="shared" si="5"/>
        <v>0.87</v>
      </c>
      <c r="I125" s="4">
        <f t="shared" si="6"/>
        <v>0.97198399085191534</v>
      </c>
      <c r="J125" s="4">
        <f t="shared" si="7"/>
        <v>0.73532701916623155</v>
      </c>
    </row>
    <row r="126" spans="1:10" x14ac:dyDescent="0.3">
      <c r="A126" s="2">
        <v>45410</v>
      </c>
      <c r="B126" s="3">
        <v>3</v>
      </c>
      <c r="C126" s="3">
        <v>3</v>
      </c>
      <c r="D126">
        <v>85</v>
      </c>
      <c r="E126">
        <v>1825</v>
      </c>
      <c r="F126">
        <v>22</v>
      </c>
      <c r="G126" s="4">
        <f t="shared" si="4"/>
        <v>0.8571428571428571</v>
      </c>
      <c r="H126" s="3">
        <f t="shared" si="5"/>
        <v>0.85</v>
      </c>
      <c r="I126" s="4">
        <f t="shared" si="6"/>
        <v>0.98794520547945208</v>
      </c>
      <c r="J126" s="4">
        <f t="shared" si="7"/>
        <v>0.71978864970645795</v>
      </c>
    </row>
    <row r="127" spans="1:10" x14ac:dyDescent="0.3">
      <c r="A127" s="2">
        <v>45411</v>
      </c>
      <c r="B127" s="3">
        <v>3</v>
      </c>
      <c r="C127" s="3">
        <v>2</v>
      </c>
      <c r="D127">
        <v>82</v>
      </c>
      <c r="E127">
        <v>1831</v>
      </c>
      <c r="F127">
        <v>59</v>
      </c>
      <c r="G127" s="4">
        <f t="shared" si="4"/>
        <v>0.90476190476190477</v>
      </c>
      <c r="H127" s="3">
        <f t="shared" si="5"/>
        <v>0.82</v>
      </c>
      <c r="I127" s="4">
        <f t="shared" si="6"/>
        <v>0.96777717094483884</v>
      </c>
      <c r="J127" s="4">
        <f t="shared" si="7"/>
        <v>0.71799849158669471</v>
      </c>
    </row>
    <row r="128" spans="1:10" x14ac:dyDescent="0.3">
      <c r="A128" s="2">
        <v>45412</v>
      </c>
      <c r="B128" s="3">
        <v>1</v>
      </c>
      <c r="C128" s="3">
        <v>3</v>
      </c>
      <c r="D128">
        <v>87</v>
      </c>
      <c r="E128">
        <v>1918</v>
      </c>
      <c r="F128">
        <v>32</v>
      </c>
      <c r="G128" s="4">
        <f t="shared" si="4"/>
        <v>0.86956521739130432</v>
      </c>
      <c r="H128" s="3">
        <f t="shared" si="5"/>
        <v>0.87</v>
      </c>
      <c r="I128" s="4">
        <f t="shared" si="6"/>
        <v>0.98331595411887385</v>
      </c>
      <c r="J128" s="4">
        <f t="shared" si="7"/>
        <v>0.74389989572471327</v>
      </c>
    </row>
    <row r="129" spans="1:10" x14ac:dyDescent="0.3">
      <c r="A129" s="2">
        <v>45413</v>
      </c>
      <c r="B129" s="3">
        <v>1</v>
      </c>
      <c r="C129" s="3">
        <v>1</v>
      </c>
      <c r="D129">
        <v>84</v>
      </c>
      <c r="E129">
        <v>2051</v>
      </c>
      <c r="F129">
        <v>33</v>
      </c>
      <c r="G129" s="4">
        <f t="shared" si="4"/>
        <v>0.95652173913043481</v>
      </c>
      <c r="H129" s="3">
        <f t="shared" si="5"/>
        <v>0.84</v>
      </c>
      <c r="I129" s="4">
        <f t="shared" si="6"/>
        <v>0.98391028766455391</v>
      </c>
      <c r="J129" s="4">
        <f t="shared" si="7"/>
        <v>0.79055052678438942</v>
      </c>
    </row>
    <row r="130" spans="1:10" x14ac:dyDescent="0.3">
      <c r="A130" s="2">
        <v>45414</v>
      </c>
      <c r="B130" s="3">
        <v>2</v>
      </c>
      <c r="C130" s="3">
        <v>3</v>
      </c>
      <c r="D130">
        <v>91</v>
      </c>
      <c r="E130">
        <v>1819</v>
      </c>
      <c r="F130">
        <v>41</v>
      </c>
      <c r="G130" s="4">
        <f t="shared" si="4"/>
        <v>0.86363636363636365</v>
      </c>
      <c r="H130" s="3">
        <f t="shared" si="5"/>
        <v>0.91</v>
      </c>
      <c r="I130" s="4">
        <f t="shared" si="6"/>
        <v>0.97746014293567896</v>
      </c>
      <c r="J130" s="4">
        <f t="shared" si="7"/>
        <v>0.76819481233444953</v>
      </c>
    </row>
    <row r="131" spans="1:10" x14ac:dyDescent="0.3">
      <c r="A131" s="2">
        <v>45415</v>
      </c>
      <c r="B131" s="3">
        <v>1</v>
      </c>
      <c r="C131" s="3">
        <v>1</v>
      </c>
      <c r="D131">
        <v>95</v>
      </c>
      <c r="E131">
        <v>1813</v>
      </c>
      <c r="F131">
        <v>45</v>
      </c>
      <c r="G131" s="4">
        <f t="shared" si="4"/>
        <v>0.95652173913043481</v>
      </c>
      <c r="H131" s="3">
        <f t="shared" si="5"/>
        <v>0.95</v>
      </c>
      <c r="I131" s="4">
        <f t="shared" si="6"/>
        <v>0.97517926089354656</v>
      </c>
      <c r="J131" s="4">
        <f t="shared" si="7"/>
        <v>0.88614115446413577</v>
      </c>
    </row>
    <row r="132" spans="1:10" x14ac:dyDescent="0.3">
      <c r="A132" s="2">
        <v>45416</v>
      </c>
      <c r="B132" s="3">
        <v>2</v>
      </c>
      <c r="C132" s="3">
        <v>2</v>
      </c>
      <c r="D132">
        <v>98</v>
      </c>
      <c r="E132">
        <v>1905</v>
      </c>
      <c r="F132">
        <v>37</v>
      </c>
      <c r="G132" s="4">
        <f t="shared" si="4"/>
        <v>0.90909090909090906</v>
      </c>
      <c r="H132" s="3">
        <f t="shared" si="5"/>
        <v>0.98</v>
      </c>
      <c r="I132" s="4">
        <f t="shared" si="6"/>
        <v>0.98057742782152235</v>
      </c>
      <c r="J132" s="4">
        <f t="shared" si="7"/>
        <v>0.87360534478644714</v>
      </c>
    </row>
    <row r="133" spans="1:10" x14ac:dyDescent="0.3">
      <c r="A133" s="2">
        <v>45417</v>
      </c>
      <c r="B133" s="3">
        <v>1</v>
      </c>
      <c r="C133" s="3">
        <v>2</v>
      </c>
      <c r="D133">
        <v>80</v>
      </c>
      <c r="E133">
        <v>2130</v>
      </c>
      <c r="F133">
        <v>45</v>
      </c>
      <c r="G133" s="4">
        <f t="shared" si="4"/>
        <v>0.91304347826086951</v>
      </c>
      <c r="H133" s="3">
        <f t="shared" si="5"/>
        <v>0.8</v>
      </c>
      <c r="I133" s="4">
        <f t="shared" si="6"/>
        <v>0.97887323943661975</v>
      </c>
      <c r="J133" s="4">
        <f t="shared" si="7"/>
        <v>0.71500306184935702</v>
      </c>
    </row>
    <row r="134" spans="1:10" x14ac:dyDescent="0.3">
      <c r="A134" s="2">
        <v>45418</v>
      </c>
      <c r="B134" s="3">
        <v>1</v>
      </c>
      <c r="C134" s="3">
        <v>1</v>
      </c>
      <c r="D134">
        <v>84</v>
      </c>
      <c r="E134">
        <v>1729</v>
      </c>
      <c r="F134">
        <v>30</v>
      </c>
      <c r="G134" s="4">
        <f t="shared" si="4"/>
        <v>0.95652173913043481</v>
      </c>
      <c r="H134" s="3">
        <f t="shared" si="5"/>
        <v>0.84</v>
      </c>
      <c r="I134" s="4">
        <f t="shared" si="6"/>
        <v>0.9826489300173511</v>
      </c>
      <c r="J134" s="4">
        <f t="shared" si="7"/>
        <v>0.78953705333568036</v>
      </c>
    </row>
    <row r="135" spans="1:10" x14ac:dyDescent="0.3">
      <c r="A135" s="2">
        <v>45419</v>
      </c>
      <c r="B135" s="3">
        <v>2</v>
      </c>
      <c r="C135" s="3">
        <v>1</v>
      </c>
      <c r="D135">
        <v>80</v>
      </c>
      <c r="E135">
        <v>1861</v>
      </c>
      <c r="F135">
        <v>30</v>
      </c>
      <c r="G135" s="4">
        <f t="shared" si="4"/>
        <v>0.95454545454545459</v>
      </c>
      <c r="H135" s="3">
        <f t="shared" si="5"/>
        <v>0.8</v>
      </c>
      <c r="I135" s="4">
        <f t="shared" si="6"/>
        <v>0.98387963460505101</v>
      </c>
      <c r="J135" s="4">
        <f t="shared" si="7"/>
        <v>0.75132626642567535</v>
      </c>
    </row>
    <row r="136" spans="1:10" x14ac:dyDescent="0.3">
      <c r="A136" s="2">
        <v>45420</v>
      </c>
      <c r="B136" s="3">
        <v>2</v>
      </c>
      <c r="C136" s="3">
        <v>1</v>
      </c>
      <c r="D136">
        <v>100</v>
      </c>
      <c r="E136">
        <v>1881</v>
      </c>
      <c r="F136">
        <v>36</v>
      </c>
      <c r="G136" s="4">
        <f t="shared" ref="G136:G199" si="8">($G$3-B136-C136)/($G$3-B136)</f>
        <v>0.95454545454545459</v>
      </c>
      <c r="H136" s="3">
        <f t="shared" si="5"/>
        <v>1</v>
      </c>
      <c r="I136" s="4">
        <f t="shared" si="6"/>
        <v>0.98086124401913877</v>
      </c>
      <c r="J136" s="4">
        <f t="shared" si="7"/>
        <v>0.93627664201826888</v>
      </c>
    </row>
    <row r="137" spans="1:10" x14ac:dyDescent="0.3">
      <c r="A137" s="2">
        <v>45421</v>
      </c>
      <c r="B137" s="3">
        <v>2</v>
      </c>
      <c r="C137" s="3">
        <v>2</v>
      </c>
      <c r="D137">
        <v>92</v>
      </c>
      <c r="E137">
        <v>1808</v>
      </c>
      <c r="F137">
        <v>45</v>
      </c>
      <c r="G137" s="4">
        <f t="shared" si="8"/>
        <v>0.90909090909090906</v>
      </c>
      <c r="H137" s="3">
        <f t="shared" ref="H137:H200" si="9">D137/$G$4</f>
        <v>0.92</v>
      </c>
      <c r="I137" s="4">
        <f t="shared" ref="I137:I200" si="10">(E137-F137)/E137</f>
        <v>0.97511061946902655</v>
      </c>
      <c r="J137" s="4">
        <f t="shared" ref="J137:J200" si="11">G137*H137*I137</f>
        <v>0.81554706355591322</v>
      </c>
    </row>
    <row r="138" spans="1:10" x14ac:dyDescent="0.3">
      <c r="A138" s="2">
        <v>45422</v>
      </c>
      <c r="B138" s="3">
        <v>2</v>
      </c>
      <c r="C138" s="3">
        <v>3</v>
      </c>
      <c r="D138">
        <v>83</v>
      </c>
      <c r="E138">
        <v>1700</v>
      </c>
      <c r="F138">
        <v>27</v>
      </c>
      <c r="G138" s="4">
        <f t="shared" si="8"/>
        <v>0.86363636363636365</v>
      </c>
      <c r="H138" s="3">
        <f t="shared" si="9"/>
        <v>0.83</v>
      </c>
      <c r="I138" s="4">
        <f t="shared" si="10"/>
        <v>0.98411764705882354</v>
      </c>
      <c r="J138" s="4">
        <f t="shared" si="11"/>
        <v>0.70543342245989304</v>
      </c>
    </row>
    <row r="139" spans="1:10" x14ac:dyDescent="0.3">
      <c r="A139" s="2">
        <v>45423</v>
      </c>
      <c r="B139" s="3">
        <v>2</v>
      </c>
      <c r="C139" s="3">
        <v>2</v>
      </c>
      <c r="D139">
        <v>97</v>
      </c>
      <c r="E139">
        <v>1911</v>
      </c>
      <c r="F139">
        <v>27</v>
      </c>
      <c r="G139" s="4">
        <f t="shared" si="8"/>
        <v>0.90909090909090906</v>
      </c>
      <c r="H139" s="3">
        <f t="shared" si="9"/>
        <v>0.97</v>
      </c>
      <c r="I139" s="4">
        <f t="shared" si="10"/>
        <v>0.98587127158555732</v>
      </c>
      <c r="J139" s="4">
        <f t="shared" si="11"/>
        <v>0.86935921221635504</v>
      </c>
    </row>
    <row r="140" spans="1:10" x14ac:dyDescent="0.3">
      <c r="A140" s="2">
        <v>45424</v>
      </c>
      <c r="B140" s="3">
        <v>2</v>
      </c>
      <c r="C140" s="3">
        <v>3</v>
      </c>
      <c r="D140">
        <v>97</v>
      </c>
      <c r="E140">
        <v>2111</v>
      </c>
      <c r="F140">
        <v>57</v>
      </c>
      <c r="G140" s="4">
        <f t="shared" si="8"/>
        <v>0.86363636363636365</v>
      </c>
      <c r="H140" s="3">
        <f t="shared" si="9"/>
        <v>0.97</v>
      </c>
      <c r="I140" s="4">
        <f t="shared" si="10"/>
        <v>0.97299857887257224</v>
      </c>
      <c r="J140" s="4">
        <f t="shared" si="11"/>
        <v>0.81510744584643213</v>
      </c>
    </row>
    <row r="141" spans="1:10" x14ac:dyDescent="0.3">
      <c r="A141" s="2">
        <v>45425</v>
      </c>
      <c r="B141" s="3">
        <v>1</v>
      </c>
      <c r="C141" s="3">
        <v>1</v>
      </c>
      <c r="D141">
        <v>91</v>
      </c>
      <c r="E141">
        <v>2253</v>
      </c>
      <c r="F141">
        <v>54</v>
      </c>
      <c r="G141" s="4">
        <f t="shared" si="8"/>
        <v>0.95652173913043481</v>
      </c>
      <c r="H141" s="3">
        <f t="shared" si="9"/>
        <v>0.91</v>
      </c>
      <c r="I141" s="4">
        <f t="shared" si="10"/>
        <v>0.97603195739014648</v>
      </c>
      <c r="J141" s="4">
        <f t="shared" si="11"/>
        <v>0.84957216465003182</v>
      </c>
    </row>
    <row r="142" spans="1:10" x14ac:dyDescent="0.3">
      <c r="A142" s="2">
        <v>45426</v>
      </c>
      <c r="B142" s="3">
        <v>2</v>
      </c>
      <c r="C142" s="3">
        <v>3</v>
      </c>
      <c r="D142">
        <v>87</v>
      </c>
      <c r="E142">
        <v>2239</v>
      </c>
      <c r="F142">
        <v>35</v>
      </c>
      <c r="G142" s="4">
        <f t="shared" si="8"/>
        <v>0.86363636363636365</v>
      </c>
      <c r="H142" s="3">
        <f t="shared" si="9"/>
        <v>0.87</v>
      </c>
      <c r="I142" s="4">
        <f t="shared" si="10"/>
        <v>0.98436802143814206</v>
      </c>
      <c r="J142" s="4">
        <f t="shared" si="11"/>
        <v>0.73961833610784034</v>
      </c>
    </row>
    <row r="143" spans="1:10" x14ac:dyDescent="0.3">
      <c r="A143" s="2">
        <v>45427</v>
      </c>
      <c r="B143" s="3">
        <v>2</v>
      </c>
      <c r="C143" s="3">
        <v>1</v>
      </c>
      <c r="D143">
        <v>91</v>
      </c>
      <c r="E143">
        <v>1941</v>
      </c>
      <c r="F143">
        <v>28</v>
      </c>
      <c r="G143" s="4">
        <f t="shared" si="8"/>
        <v>0.95454545454545459</v>
      </c>
      <c r="H143" s="3">
        <f t="shared" si="9"/>
        <v>0.91</v>
      </c>
      <c r="I143" s="4">
        <f t="shared" si="10"/>
        <v>0.98557444616177226</v>
      </c>
      <c r="J143" s="4">
        <f t="shared" si="11"/>
        <v>0.85610580300688488</v>
      </c>
    </row>
    <row r="144" spans="1:10" x14ac:dyDescent="0.3">
      <c r="A144" s="2">
        <v>45428</v>
      </c>
      <c r="B144" s="3">
        <v>1</v>
      </c>
      <c r="C144" s="3">
        <v>3</v>
      </c>
      <c r="D144">
        <v>94</v>
      </c>
      <c r="E144">
        <v>2084</v>
      </c>
      <c r="F144">
        <v>39</v>
      </c>
      <c r="G144" s="4">
        <f t="shared" si="8"/>
        <v>0.86956521739130432</v>
      </c>
      <c r="H144" s="3">
        <f t="shared" si="9"/>
        <v>0.94</v>
      </c>
      <c r="I144" s="4">
        <f t="shared" si="10"/>
        <v>0.9812859884836852</v>
      </c>
      <c r="J144" s="4">
        <f t="shared" si="11"/>
        <v>0.8020946340649252</v>
      </c>
    </row>
    <row r="145" spans="1:10" x14ac:dyDescent="0.3">
      <c r="A145" s="2">
        <v>45429</v>
      </c>
      <c r="B145" s="3">
        <v>1</v>
      </c>
      <c r="C145" s="3">
        <v>3</v>
      </c>
      <c r="D145">
        <v>92</v>
      </c>
      <c r="E145">
        <v>1901</v>
      </c>
      <c r="F145">
        <v>39</v>
      </c>
      <c r="G145" s="4">
        <f t="shared" si="8"/>
        <v>0.86956521739130432</v>
      </c>
      <c r="H145" s="3">
        <f t="shared" si="9"/>
        <v>0.92</v>
      </c>
      <c r="I145" s="4">
        <f t="shared" si="10"/>
        <v>0.97948448185165704</v>
      </c>
      <c r="J145" s="4">
        <f t="shared" si="11"/>
        <v>0.78358758548132568</v>
      </c>
    </row>
    <row r="146" spans="1:10" x14ac:dyDescent="0.3">
      <c r="A146" s="2">
        <v>45430</v>
      </c>
      <c r="B146" s="3">
        <v>2</v>
      </c>
      <c r="C146" s="3">
        <v>2</v>
      </c>
      <c r="D146">
        <v>100</v>
      </c>
      <c r="E146">
        <v>1936</v>
      </c>
      <c r="F146">
        <v>38</v>
      </c>
      <c r="G146" s="4">
        <f t="shared" si="8"/>
        <v>0.90909090909090906</v>
      </c>
      <c r="H146" s="3">
        <f t="shared" si="9"/>
        <v>1</v>
      </c>
      <c r="I146" s="4">
        <f t="shared" si="10"/>
        <v>0.98037190082644632</v>
      </c>
      <c r="J146" s="4">
        <f t="shared" si="11"/>
        <v>0.89124718256949664</v>
      </c>
    </row>
    <row r="147" spans="1:10" x14ac:dyDescent="0.3">
      <c r="A147" s="2">
        <v>45431</v>
      </c>
      <c r="B147" s="3">
        <v>2</v>
      </c>
      <c r="C147" s="3">
        <v>2</v>
      </c>
      <c r="D147">
        <v>81</v>
      </c>
      <c r="E147">
        <v>2104</v>
      </c>
      <c r="F147">
        <v>38</v>
      </c>
      <c r="G147" s="4">
        <f t="shared" si="8"/>
        <v>0.90909090909090906</v>
      </c>
      <c r="H147" s="3">
        <f t="shared" si="9"/>
        <v>0.81</v>
      </c>
      <c r="I147" s="4">
        <f t="shared" si="10"/>
        <v>0.98193916349809884</v>
      </c>
      <c r="J147" s="4">
        <f t="shared" si="11"/>
        <v>0.72306429312132736</v>
      </c>
    </row>
    <row r="148" spans="1:10" x14ac:dyDescent="0.3">
      <c r="A148" s="2">
        <v>45432</v>
      </c>
      <c r="B148" s="3">
        <v>1</v>
      </c>
      <c r="C148" s="3">
        <v>3</v>
      </c>
      <c r="D148">
        <v>96</v>
      </c>
      <c r="E148">
        <v>1782</v>
      </c>
      <c r="F148">
        <v>29</v>
      </c>
      <c r="G148" s="4">
        <f t="shared" si="8"/>
        <v>0.86956521739130432</v>
      </c>
      <c r="H148" s="3">
        <f t="shared" si="9"/>
        <v>0.96</v>
      </c>
      <c r="I148" s="4">
        <f t="shared" si="10"/>
        <v>0.98372615039281708</v>
      </c>
      <c r="J148" s="4">
        <f t="shared" si="11"/>
        <v>0.82119748206704724</v>
      </c>
    </row>
    <row r="149" spans="1:10" x14ac:dyDescent="0.3">
      <c r="A149" s="2">
        <v>45433</v>
      </c>
      <c r="B149" s="3">
        <v>1</v>
      </c>
      <c r="C149" s="3">
        <v>3</v>
      </c>
      <c r="D149">
        <v>99</v>
      </c>
      <c r="E149">
        <v>1888</v>
      </c>
      <c r="F149">
        <v>34</v>
      </c>
      <c r="G149" s="4">
        <f t="shared" si="8"/>
        <v>0.86956521739130432</v>
      </c>
      <c r="H149" s="3">
        <f t="shared" si="9"/>
        <v>0.99</v>
      </c>
      <c r="I149" s="4">
        <f t="shared" si="10"/>
        <v>0.98199152542372881</v>
      </c>
      <c r="J149" s="4">
        <f t="shared" si="11"/>
        <v>0.84536661753868825</v>
      </c>
    </row>
    <row r="150" spans="1:10" x14ac:dyDescent="0.3">
      <c r="A150" s="2">
        <v>45434</v>
      </c>
      <c r="B150" s="3">
        <v>2</v>
      </c>
      <c r="C150" s="3">
        <v>3</v>
      </c>
      <c r="D150">
        <v>81</v>
      </c>
      <c r="E150">
        <v>2015</v>
      </c>
      <c r="F150">
        <v>22</v>
      </c>
      <c r="G150" s="4">
        <f t="shared" si="8"/>
        <v>0.86363636363636365</v>
      </c>
      <c r="H150" s="3">
        <f t="shared" si="9"/>
        <v>0.81</v>
      </c>
      <c r="I150" s="4">
        <f t="shared" si="10"/>
        <v>0.98908188585607937</v>
      </c>
      <c r="J150" s="4">
        <f t="shared" si="11"/>
        <v>0.69190773742386646</v>
      </c>
    </row>
    <row r="151" spans="1:10" x14ac:dyDescent="0.3">
      <c r="A151" s="2">
        <v>45435</v>
      </c>
      <c r="B151" s="3">
        <v>3</v>
      </c>
      <c r="C151" s="3">
        <v>3</v>
      </c>
      <c r="D151">
        <v>86</v>
      </c>
      <c r="E151">
        <v>2164</v>
      </c>
      <c r="F151">
        <v>26</v>
      </c>
      <c r="G151" s="4">
        <f t="shared" si="8"/>
        <v>0.8571428571428571</v>
      </c>
      <c r="H151" s="3">
        <f t="shared" si="9"/>
        <v>0.86</v>
      </c>
      <c r="I151" s="4">
        <f t="shared" si="10"/>
        <v>0.98798521256931604</v>
      </c>
      <c r="J151" s="4">
        <f t="shared" si="11"/>
        <v>0.72828624240823869</v>
      </c>
    </row>
    <row r="152" spans="1:10" x14ac:dyDescent="0.3">
      <c r="A152" s="2">
        <v>45436</v>
      </c>
      <c r="B152" s="3">
        <v>2</v>
      </c>
      <c r="C152" s="3">
        <v>3</v>
      </c>
      <c r="D152">
        <v>84</v>
      </c>
      <c r="E152">
        <v>2198</v>
      </c>
      <c r="F152">
        <v>36</v>
      </c>
      <c r="G152" s="4">
        <f t="shared" si="8"/>
        <v>0.86363636363636365</v>
      </c>
      <c r="H152" s="3">
        <f t="shared" si="9"/>
        <v>0.84</v>
      </c>
      <c r="I152" s="4">
        <f t="shared" si="10"/>
        <v>0.98362147406733391</v>
      </c>
      <c r="J152" s="4">
        <f t="shared" si="11"/>
        <v>0.71357266936884767</v>
      </c>
    </row>
    <row r="153" spans="1:10" x14ac:dyDescent="0.3">
      <c r="A153" s="2">
        <v>45437</v>
      </c>
      <c r="B153" s="3">
        <v>2</v>
      </c>
      <c r="C153" s="3">
        <v>1</v>
      </c>
      <c r="D153">
        <v>97</v>
      </c>
      <c r="E153">
        <v>2044</v>
      </c>
      <c r="F153">
        <v>50</v>
      </c>
      <c r="G153" s="4">
        <f t="shared" si="8"/>
        <v>0.95454545454545459</v>
      </c>
      <c r="H153" s="3">
        <f t="shared" si="9"/>
        <v>0.97</v>
      </c>
      <c r="I153" s="4">
        <f t="shared" si="10"/>
        <v>0.97553816046966735</v>
      </c>
      <c r="J153" s="4">
        <f t="shared" si="11"/>
        <v>0.90325965130759656</v>
      </c>
    </row>
    <row r="154" spans="1:10" x14ac:dyDescent="0.3">
      <c r="A154" s="2">
        <v>45438</v>
      </c>
      <c r="B154" s="3">
        <v>1</v>
      </c>
      <c r="C154" s="3">
        <v>2</v>
      </c>
      <c r="D154">
        <v>91</v>
      </c>
      <c r="E154">
        <v>1945</v>
      </c>
      <c r="F154">
        <v>37</v>
      </c>
      <c r="G154" s="4">
        <f t="shared" si="8"/>
        <v>0.91304347826086951</v>
      </c>
      <c r="H154" s="3">
        <f t="shared" si="9"/>
        <v>0.91</v>
      </c>
      <c r="I154" s="4">
        <f t="shared" si="10"/>
        <v>0.98097686375321336</v>
      </c>
      <c r="J154" s="4">
        <f t="shared" si="11"/>
        <v>0.8150638202749525</v>
      </c>
    </row>
    <row r="155" spans="1:10" x14ac:dyDescent="0.3">
      <c r="A155" s="2">
        <v>45439</v>
      </c>
      <c r="B155" s="3">
        <v>1</v>
      </c>
      <c r="C155" s="3">
        <v>1</v>
      </c>
      <c r="D155">
        <v>97</v>
      </c>
      <c r="E155">
        <v>2172</v>
      </c>
      <c r="F155">
        <v>52</v>
      </c>
      <c r="G155" s="4">
        <f t="shared" si="8"/>
        <v>0.95652173913043481</v>
      </c>
      <c r="H155" s="3">
        <f t="shared" si="9"/>
        <v>0.97</v>
      </c>
      <c r="I155" s="4">
        <f t="shared" si="10"/>
        <v>0.97605893186003678</v>
      </c>
      <c r="J155" s="4">
        <f t="shared" si="11"/>
        <v>0.90561293938666021</v>
      </c>
    </row>
    <row r="156" spans="1:10" x14ac:dyDescent="0.3">
      <c r="A156" s="2">
        <v>45440</v>
      </c>
      <c r="B156" s="3">
        <v>2</v>
      </c>
      <c r="C156" s="3">
        <v>1</v>
      </c>
      <c r="D156">
        <v>88</v>
      </c>
      <c r="E156">
        <v>1772</v>
      </c>
      <c r="F156">
        <v>54</v>
      </c>
      <c r="G156" s="4">
        <f t="shared" si="8"/>
        <v>0.95454545454545459</v>
      </c>
      <c r="H156" s="3">
        <f t="shared" si="9"/>
        <v>0.88</v>
      </c>
      <c r="I156" s="4">
        <f t="shared" si="10"/>
        <v>0.96952595936794583</v>
      </c>
      <c r="J156" s="4">
        <f t="shared" si="11"/>
        <v>0.81440180586907462</v>
      </c>
    </row>
    <row r="157" spans="1:10" x14ac:dyDescent="0.3">
      <c r="A157" s="2">
        <v>45441</v>
      </c>
      <c r="B157" s="3">
        <v>2</v>
      </c>
      <c r="C157" s="3">
        <v>1</v>
      </c>
      <c r="D157">
        <v>87</v>
      </c>
      <c r="E157">
        <v>1878</v>
      </c>
      <c r="F157">
        <v>56</v>
      </c>
      <c r="G157" s="4">
        <f t="shared" si="8"/>
        <v>0.95454545454545459</v>
      </c>
      <c r="H157" s="3">
        <f t="shared" si="9"/>
        <v>0.87</v>
      </c>
      <c r="I157" s="4">
        <f t="shared" si="10"/>
        <v>0.9701810436634718</v>
      </c>
      <c r="J157" s="4">
        <f t="shared" si="11"/>
        <v>0.80569125762416494</v>
      </c>
    </row>
    <row r="158" spans="1:10" x14ac:dyDescent="0.3">
      <c r="A158" s="2">
        <v>45442</v>
      </c>
      <c r="B158" s="3">
        <v>2</v>
      </c>
      <c r="C158" s="3">
        <v>3</v>
      </c>
      <c r="D158">
        <v>88</v>
      </c>
      <c r="E158">
        <v>2020</v>
      </c>
      <c r="F158">
        <v>60</v>
      </c>
      <c r="G158" s="4">
        <f t="shared" si="8"/>
        <v>0.86363636363636365</v>
      </c>
      <c r="H158" s="3">
        <f t="shared" si="9"/>
        <v>0.88</v>
      </c>
      <c r="I158" s="4">
        <f t="shared" si="10"/>
        <v>0.97029702970297027</v>
      </c>
      <c r="J158" s="4">
        <f t="shared" si="11"/>
        <v>0.73742574257425741</v>
      </c>
    </row>
    <row r="159" spans="1:10" x14ac:dyDescent="0.3">
      <c r="A159" s="2">
        <v>45443</v>
      </c>
      <c r="B159" s="3">
        <v>3</v>
      </c>
      <c r="C159" s="3">
        <v>2</v>
      </c>
      <c r="D159">
        <v>100</v>
      </c>
      <c r="E159">
        <v>1918</v>
      </c>
      <c r="F159">
        <v>60</v>
      </c>
      <c r="G159" s="4">
        <f t="shared" si="8"/>
        <v>0.90476190476190477</v>
      </c>
      <c r="H159" s="3">
        <f t="shared" si="9"/>
        <v>1</v>
      </c>
      <c r="I159" s="4">
        <f t="shared" si="10"/>
        <v>0.96871741397288846</v>
      </c>
      <c r="J159" s="4">
        <f t="shared" si="11"/>
        <v>0.8764586126421372</v>
      </c>
    </row>
    <row r="160" spans="1:10" x14ac:dyDescent="0.3">
      <c r="A160" s="2">
        <v>45444</v>
      </c>
      <c r="B160" s="3">
        <v>2</v>
      </c>
      <c r="C160" s="3">
        <v>1</v>
      </c>
      <c r="D160">
        <v>97</v>
      </c>
      <c r="E160">
        <v>2040</v>
      </c>
      <c r="F160">
        <v>28</v>
      </c>
      <c r="G160" s="4">
        <f t="shared" si="8"/>
        <v>0.95454545454545459</v>
      </c>
      <c r="H160" s="3">
        <f t="shared" si="9"/>
        <v>0.97</v>
      </c>
      <c r="I160" s="4">
        <f t="shared" si="10"/>
        <v>0.98627450980392162</v>
      </c>
      <c r="J160" s="4">
        <f t="shared" si="11"/>
        <v>0.91320053475935836</v>
      </c>
    </row>
    <row r="161" spans="1:10" x14ac:dyDescent="0.3">
      <c r="A161" s="2">
        <v>45445</v>
      </c>
      <c r="B161" s="3">
        <v>2</v>
      </c>
      <c r="C161" s="3">
        <v>1</v>
      </c>
      <c r="D161">
        <v>83</v>
      </c>
      <c r="E161">
        <v>2198</v>
      </c>
      <c r="F161">
        <v>58</v>
      </c>
      <c r="G161" s="4">
        <f t="shared" si="8"/>
        <v>0.95454545454545459</v>
      </c>
      <c r="H161" s="3">
        <f t="shared" si="9"/>
        <v>0.83</v>
      </c>
      <c r="I161" s="4">
        <f t="shared" si="10"/>
        <v>0.97361237488626029</v>
      </c>
      <c r="J161" s="4">
        <f t="shared" si="11"/>
        <v>0.77136653155761437</v>
      </c>
    </row>
    <row r="162" spans="1:10" x14ac:dyDescent="0.3">
      <c r="A162" s="2">
        <v>45446</v>
      </c>
      <c r="B162" s="3">
        <v>3</v>
      </c>
      <c r="C162" s="3">
        <v>2</v>
      </c>
      <c r="D162">
        <v>83</v>
      </c>
      <c r="E162">
        <v>1705</v>
      </c>
      <c r="F162">
        <v>43</v>
      </c>
      <c r="G162" s="4">
        <f t="shared" si="8"/>
        <v>0.90476190476190477</v>
      </c>
      <c r="H162" s="3">
        <f t="shared" si="9"/>
        <v>0.83</v>
      </c>
      <c r="I162" s="4">
        <f t="shared" si="10"/>
        <v>0.97478005865102635</v>
      </c>
      <c r="J162" s="4">
        <f t="shared" si="11"/>
        <v>0.73201340594888975</v>
      </c>
    </row>
    <row r="163" spans="1:10" x14ac:dyDescent="0.3">
      <c r="A163" s="2">
        <v>45447</v>
      </c>
      <c r="B163" s="3">
        <v>2</v>
      </c>
      <c r="C163" s="3">
        <v>1</v>
      </c>
      <c r="D163">
        <v>91</v>
      </c>
      <c r="E163">
        <v>2093</v>
      </c>
      <c r="F163">
        <v>55</v>
      </c>
      <c r="G163" s="4">
        <f t="shared" si="8"/>
        <v>0.95454545454545459</v>
      </c>
      <c r="H163" s="3">
        <f t="shared" si="9"/>
        <v>0.91</v>
      </c>
      <c r="I163" s="4">
        <f t="shared" si="10"/>
        <v>0.97372193024366938</v>
      </c>
      <c r="J163" s="4">
        <f t="shared" si="11"/>
        <v>0.84581027667984188</v>
      </c>
    </row>
    <row r="164" spans="1:10" x14ac:dyDescent="0.3">
      <c r="A164" s="2">
        <v>45448</v>
      </c>
      <c r="B164" s="3">
        <v>1</v>
      </c>
      <c r="C164" s="3">
        <v>1</v>
      </c>
      <c r="D164">
        <v>82</v>
      </c>
      <c r="E164">
        <v>1883</v>
      </c>
      <c r="F164">
        <v>41</v>
      </c>
      <c r="G164" s="4">
        <f t="shared" si="8"/>
        <v>0.95652173913043481</v>
      </c>
      <c r="H164" s="3">
        <f t="shared" si="9"/>
        <v>0.82</v>
      </c>
      <c r="I164" s="4">
        <f t="shared" si="10"/>
        <v>0.97822623473181092</v>
      </c>
      <c r="J164" s="4">
        <f t="shared" si="11"/>
        <v>0.76726962063312476</v>
      </c>
    </row>
    <row r="165" spans="1:10" x14ac:dyDescent="0.3">
      <c r="A165" s="2">
        <v>45449</v>
      </c>
      <c r="B165" s="3">
        <v>2</v>
      </c>
      <c r="C165" s="3">
        <v>1</v>
      </c>
      <c r="D165">
        <v>96</v>
      </c>
      <c r="E165">
        <v>2052</v>
      </c>
      <c r="F165">
        <v>37</v>
      </c>
      <c r="G165" s="4">
        <f t="shared" si="8"/>
        <v>0.95454545454545459</v>
      </c>
      <c r="H165" s="3">
        <f t="shared" si="9"/>
        <v>0.96</v>
      </c>
      <c r="I165" s="4">
        <f t="shared" si="10"/>
        <v>0.98196881091617938</v>
      </c>
      <c r="J165" s="4">
        <f t="shared" si="11"/>
        <v>0.89984051036682622</v>
      </c>
    </row>
    <row r="166" spans="1:10" x14ac:dyDescent="0.3">
      <c r="A166" s="2">
        <v>45450</v>
      </c>
      <c r="B166" s="3">
        <v>3</v>
      </c>
      <c r="C166" s="3">
        <v>1</v>
      </c>
      <c r="D166">
        <v>88</v>
      </c>
      <c r="E166">
        <v>1998</v>
      </c>
      <c r="F166">
        <v>29</v>
      </c>
      <c r="G166" s="4">
        <f t="shared" si="8"/>
        <v>0.95238095238095233</v>
      </c>
      <c r="H166" s="3">
        <f t="shared" si="9"/>
        <v>0.88</v>
      </c>
      <c r="I166" s="4">
        <f t="shared" si="10"/>
        <v>0.98548548548548554</v>
      </c>
      <c r="J166" s="4">
        <f t="shared" si="11"/>
        <v>0.82593069259735918</v>
      </c>
    </row>
    <row r="167" spans="1:10" x14ac:dyDescent="0.3">
      <c r="A167" s="2">
        <v>45451</v>
      </c>
      <c r="B167" s="3">
        <v>3</v>
      </c>
      <c r="C167" s="3">
        <v>1</v>
      </c>
      <c r="D167">
        <v>90</v>
      </c>
      <c r="E167">
        <v>2140</v>
      </c>
      <c r="F167">
        <v>35</v>
      </c>
      <c r="G167" s="4">
        <f t="shared" si="8"/>
        <v>0.95238095238095233</v>
      </c>
      <c r="H167" s="3">
        <f t="shared" si="9"/>
        <v>0.9</v>
      </c>
      <c r="I167" s="4">
        <f t="shared" si="10"/>
        <v>0.98364485981308414</v>
      </c>
      <c r="J167" s="4">
        <f t="shared" si="11"/>
        <v>0.8431241655540721</v>
      </c>
    </row>
    <row r="168" spans="1:10" x14ac:dyDescent="0.3">
      <c r="A168" s="2">
        <v>45452</v>
      </c>
      <c r="B168" s="3">
        <v>3</v>
      </c>
      <c r="C168" s="3">
        <v>3</v>
      </c>
      <c r="D168">
        <v>88</v>
      </c>
      <c r="E168">
        <v>2031</v>
      </c>
      <c r="F168">
        <v>48</v>
      </c>
      <c r="G168" s="4">
        <f t="shared" si="8"/>
        <v>0.8571428571428571</v>
      </c>
      <c r="H168" s="3">
        <f t="shared" si="9"/>
        <v>0.88</v>
      </c>
      <c r="I168" s="4">
        <f t="shared" si="10"/>
        <v>0.97636632200886264</v>
      </c>
      <c r="J168" s="4">
        <f t="shared" si="11"/>
        <v>0.7364591686009706</v>
      </c>
    </row>
    <row r="169" spans="1:10" x14ac:dyDescent="0.3">
      <c r="A169" s="2">
        <v>45453</v>
      </c>
      <c r="B169" s="3">
        <v>2</v>
      </c>
      <c r="C169" s="3">
        <v>1</v>
      </c>
      <c r="D169">
        <v>96</v>
      </c>
      <c r="E169">
        <v>1894</v>
      </c>
      <c r="F169">
        <v>45</v>
      </c>
      <c r="G169" s="4">
        <f t="shared" si="8"/>
        <v>0.95454545454545459</v>
      </c>
      <c r="H169" s="3">
        <f t="shared" si="9"/>
        <v>0.96</v>
      </c>
      <c r="I169" s="4">
        <f t="shared" si="10"/>
        <v>0.97624076029567053</v>
      </c>
      <c r="J169" s="4">
        <f t="shared" si="11"/>
        <v>0.89459153307094175</v>
      </c>
    </row>
    <row r="170" spans="1:10" x14ac:dyDescent="0.3">
      <c r="A170" s="2">
        <v>45454</v>
      </c>
      <c r="B170" s="3">
        <v>2</v>
      </c>
      <c r="C170" s="3">
        <v>3</v>
      </c>
      <c r="D170">
        <v>84</v>
      </c>
      <c r="E170">
        <v>1724</v>
      </c>
      <c r="F170">
        <v>43</v>
      </c>
      <c r="G170" s="4">
        <f t="shared" si="8"/>
        <v>0.86363636363636365</v>
      </c>
      <c r="H170" s="3">
        <f t="shared" si="9"/>
        <v>0.84</v>
      </c>
      <c r="I170" s="4">
        <f t="shared" si="10"/>
        <v>0.97505800464037118</v>
      </c>
      <c r="J170" s="4">
        <f t="shared" si="11"/>
        <v>0.70736026154819653</v>
      </c>
    </row>
    <row r="171" spans="1:10" x14ac:dyDescent="0.3">
      <c r="A171" s="2">
        <v>45455</v>
      </c>
      <c r="B171" s="3">
        <v>2</v>
      </c>
      <c r="C171" s="3">
        <v>2</v>
      </c>
      <c r="D171">
        <v>91</v>
      </c>
      <c r="E171">
        <v>1901</v>
      </c>
      <c r="F171">
        <v>49</v>
      </c>
      <c r="G171" s="4">
        <f t="shared" si="8"/>
        <v>0.90909090909090906</v>
      </c>
      <c r="H171" s="3">
        <f t="shared" si="9"/>
        <v>0.91</v>
      </c>
      <c r="I171" s="4">
        <f t="shared" si="10"/>
        <v>0.97422409258285114</v>
      </c>
      <c r="J171" s="4">
        <f t="shared" si="11"/>
        <v>0.8059490220458132</v>
      </c>
    </row>
    <row r="172" spans="1:10" x14ac:dyDescent="0.3">
      <c r="A172" s="2">
        <v>45456</v>
      </c>
      <c r="B172" s="3">
        <v>3</v>
      </c>
      <c r="C172" s="3">
        <v>1</v>
      </c>
      <c r="D172">
        <v>84</v>
      </c>
      <c r="E172">
        <v>2198</v>
      </c>
      <c r="F172">
        <v>25</v>
      </c>
      <c r="G172" s="4">
        <f t="shared" si="8"/>
        <v>0.95238095238095233</v>
      </c>
      <c r="H172" s="3">
        <f t="shared" si="9"/>
        <v>0.84</v>
      </c>
      <c r="I172" s="4">
        <f t="shared" si="10"/>
        <v>0.98862602365787078</v>
      </c>
      <c r="J172" s="4">
        <f t="shared" si="11"/>
        <v>0.7909008189262966</v>
      </c>
    </row>
    <row r="173" spans="1:10" x14ac:dyDescent="0.3">
      <c r="A173" s="2">
        <v>45457</v>
      </c>
      <c r="B173" s="3">
        <v>3</v>
      </c>
      <c r="C173" s="3">
        <v>3</v>
      </c>
      <c r="D173">
        <v>82</v>
      </c>
      <c r="E173">
        <v>2056</v>
      </c>
      <c r="F173">
        <v>44</v>
      </c>
      <c r="G173" s="4">
        <f t="shared" si="8"/>
        <v>0.8571428571428571</v>
      </c>
      <c r="H173" s="3">
        <f t="shared" si="9"/>
        <v>0.82</v>
      </c>
      <c r="I173" s="4">
        <f t="shared" si="10"/>
        <v>0.97859922178988323</v>
      </c>
      <c r="J173" s="4">
        <f t="shared" si="11"/>
        <v>0.68781545302946068</v>
      </c>
    </row>
    <row r="174" spans="1:10" x14ac:dyDescent="0.3">
      <c r="A174" s="2">
        <v>45458</v>
      </c>
      <c r="B174" s="3">
        <v>1</v>
      </c>
      <c r="C174" s="3">
        <v>3</v>
      </c>
      <c r="D174">
        <v>92</v>
      </c>
      <c r="E174">
        <v>1890</v>
      </c>
      <c r="F174">
        <v>55</v>
      </c>
      <c r="G174" s="4">
        <f t="shared" si="8"/>
        <v>0.86956521739130432</v>
      </c>
      <c r="H174" s="3">
        <f t="shared" si="9"/>
        <v>0.92</v>
      </c>
      <c r="I174" s="4">
        <f t="shared" si="10"/>
        <v>0.97089947089947093</v>
      </c>
      <c r="J174" s="4">
        <f t="shared" si="11"/>
        <v>0.77671957671957681</v>
      </c>
    </row>
    <row r="175" spans="1:10" x14ac:dyDescent="0.3">
      <c r="A175" s="2">
        <v>45459</v>
      </c>
      <c r="B175" s="3">
        <v>3</v>
      </c>
      <c r="C175" s="3">
        <v>2</v>
      </c>
      <c r="D175">
        <v>90</v>
      </c>
      <c r="E175">
        <v>2048</v>
      </c>
      <c r="F175">
        <v>52</v>
      </c>
      <c r="G175" s="4">
        <f t="shared" si="8"/>
        <v>0.90476190476190477</v>
      </c>
      <c r="H175" s="3">
        <f t="shared" si="9"/>
        <v>0.9</v>
      </c>
      <c r="I175" s="4">
        <f t="shared" si="10"/>
        <v>0.974609375</v>
      </c>
      <c r="J175" s="4">
        <f t="shared" si="11"/>
        <v>0.79361049107142856</v>
      </c>
    </row>
    <row r="176" spans="1:10" x14ac:dyDescent="0.3">
      <c r="A176" s="2">
        <v>45460</v>
      </c>
      <c r="B176" s="3">
        <v>1</v>
      </c>
      <c r="C176" s="3">
        <v>1</v>
      </c>
      <c r="D176">
        <v>93</v>
      </c>
      <c r="E176">
        <v>2182</v>
      </c>
      <c r="F176">
        <v>55</v>
      </c>
      <c r="G176" s="4">
        <f t="shared" si="8"/>
        <v>0.95652173913043481</v>
      </c>
      <c r="H176" s="3">
        <f t="shared" si="9"/>
        <v>0.93</v>
      </c>
      <c r="I176" s="4">
        <f t="shared" si="10"/>
        <v>0.97479376718606781</v>
      </c>
      <c r="J176" s="4">
        <f t="shared" si="11"/>
        <v>0.86714262941856302</v>
      </c>
    </row>
    <row r="177" spans="1:10" x14ac:dyDescent="0.3">
      <c r="A177" s="2">
        <v>45461</v>
      </c>
      <c r="B177" s="3">
        <v>1</v>
      </c>
      <c r="C177" s="3">
        <v>2</v>
      </c>
      <c r="D177">
        <v>85</v>
      </c>
      <c r="E177">
        <v>1789</v>
      </c>
      <c r="F177">
        <v>52</v>
      </c>
      <c r="G177" s="4">
        <f t="shared" si="8"/>
        <v>0.91304347826086951</v>
      </c>
      <c r="H177" s="3">
        <f t="shared" si="9"/>
        <v>0.85</v>
      </c>
      <c r="I177" s="4">
        <f t="shared" si="10"/>
        <v>0.97093348239239796</v>
      </c>
      <c r="J177" s="4">
        <f t="shared" si="11"/>
        <v>0.75352881133496974</v>
      </c>
    </row>
    <row r="178" spans="1:10" x14ac:dyDescent="0.3">
      <c r="A178" s="2">
        <v>45462</v>
      </c>
      <c r="B178" s="3">
        <v>1</v>
      </c>
      <c r="C178" s="3">
        <v>1</v>
      </c>
      <c r="D178">
        <v>87</v>
      </c>
      <c r="E178">
        <v>2280</v>
      </c>
      <c r="F178">
        <v>56</v>
      </c>
      <c r="G178" s="4">
        <f t="shared" si="8"/>
        <v>0.95652173913043481</v>
      </c>
      <c r="H178" s="3">
        <f t="shared" si="9"/>
        <v>0.87</v>
      </c>
      <c r="I178" s="4">
        <f t="shared" si="10"/>
        <v>0.9754385964912281</v>
      </c>
      <c r="J178" s="4">
        <f t="shared" si="11"/>
        <v>0.81173455377574377</v>
      </c>
    </row>
    <row r="179" spans="1:10" x14ac:dyDescent="0.3">
      <c r="A179" s="2">
        <v>45463</v>
      </c>
      <c r="B179" s="3">
        <v>2</v>
      </c>
      <c r="C179" s="3">
        <v>2</v>
      </c>
      <c r="D179">
        <v>96</v>
      </c>
      <c r="E179">
        <v>2072</v>
      </c>
      <c r="F179">
        <v>44</v>
      </c>
      <c r="G179" s="4">
        <f t="shared" si="8"/>
        <v>0.90909090909090906</v>
      </c>
      <c r="H179" s="3">
        <f t="shared" si="9"/>
        <v>0.96</v>
      </c>
      <c r="I179" s="4">
        <f t="shared" si="10"/>
        <v>0.97876447876447881</v>
      </c>
      <c r="J179" s="4">
        <f t="shared" si="11"/>
        <v>0.85419445419445417</v>
      </c>
    </row>
    <row r="180" spans="1:10" x14ac:dyDescent="0.3">
      <c r="A180" s="2">
        <v>45464</v>
      </c>
      <c r="B180" s="3">
        <v>3</v>
      </c>
      <c r="C180" s="3">
        <v>1</v>
      </c>
      <c r="D180">
        <v>99</v>
      </c>
      <c r="E180">
        <v>2070</v>
      </c>
      <c r="F180">
        <v>53</v>
      </c>
      <c r="G180" s="4">
        <f t="shared" si="8"/>
        <v>0.95238095238095233</v>
      </c>
      <c r="H180" s="3">
        <f t="shared" si="9"/>
        <v>0.99</v>
      </c>
      <c r="I180" s="4">
        <f t="shared" si="10"/>
        <v>0.97439613526570046</v>
      </c>
      <c r="J180" s="4">
        <f t="shared" si="11"/>
        <v>0.91871635610766045</v>
      </c>
    </row>
    <row r="181" spans="1:10" x14ac:dyDescent="0.3">
      <c r="A181" s="2">
        <v>45465</v>
      </c>
      <c r="B181" s="3">
        <v>3</v>
      </c>
      <c r="C181" s="3">
        <v>1</v>
      </c>
      <c r="D181">
        <v>99</v>
      </c>
      <c r="E181">
        <v>1762</v>
      </c>
      <c r="F181">
        <v>39</v>
      </c>
      <c r="G181" s="4">
        <f t="shared" si="8"/>
        <v>0.95238095238095233</v>
      </c>
      <c r="H181" s="3">
        <f t="shared" si="9"/>
        <v>0.99</v>
      </c>
      <c r="I181" s="4">
        <f t="shared" si="10"/>
        <v>0.97786606129398412</v>
      </c>
      <c r="J181" s="4">
        <f t="shared" si="11"/>
        <v>0.92198800064861364</v>
      </c>
    </row>
    <row r="182" spans="1:10" x14ac:dyDescent="0.3">
      <c r="A182" s="2">
        <v>45466</v>
      </c>
      <c r="B182" s="3">
        <v>1</v>
      </c>
      <c r="C182" s="3">
        <v>2</v>
      </c>
      <c r="D182">
        <v>100</v>
      </c>
      <c r="E182">
        <v>2112</v>
      </c>
      <c r="F182">
        <v>25</v>
      </c>
      <c r="G182" s="4">
        <f t="shared" si="8"/>
        <v>0.91304347826086951</v>
      </c>
      <c r="H182" s="3">
        <f t="shared" si="9"/>
        <v>1</v>
      </c>
      <c r="I182" s="4">
        <f t="shared" si="10"/>
        <v>0.98816287878787878</v>
      </c>
      <c r="J182" s="4">
        <f t="shared" si="11"/>
        <v>0.9022356719367588</v>
      </c>
    </row>
    <row r="183" spans="1:10" x14ac:dyDescent="0.3">
      <c r="A183" s="2">
        <v>45467</v>
      </c>
      <c r="B183" s="3">
        <v>3</v>
      </c>
      <c r="C183" s="3">
        <v>2</v>
      </c>
      <c r="D183">
        <v>93</v>
      </c>
      <c r="E183">
        <v>2060</v>
      </c>
      <c r="F183">
        <v>51</v>
      </c>
      <c r="G183" s="4">
        <f t="shared" si="8"/>
        <v>0.90476190476190477</v>
      </c>
      <c r="H183" s="3">
        <f t="shared" si="9"/>
        <v>0.93</v>
      </c>
      <c r="I183" s="4">
        <f t="shared" si="10"/>
        <v>0.97524271844660193</v>
      </c>
      <c r="J183" s="4">
        <f t="shared" si="11"/>
        <v>0.8205970873786409</v>
      </c>
    </row>
    <row r="184" spans="1:10" x14ac:dyDescent="0.3">
      <c r="A184" s="2">
        <v>45468</v>
      </c>
      <c r="B184" s="3">
        <v>1</v>
      </c>
      <c r="C184" s="3">
        <v>3</v>
      </c>
      <c r="D184">
        <v>94</v>
      </c>
      <c r="E184">
        <v>2045</v>
      </c>
      <c r="F184">
        <v>45</v>
      </c>
      <c r="G184" s="4">
        <f t="shared" si="8"/>
        <v>0.86956521739130432</v>
      </c>
      <c r="H184" s="3">
        <f t="shared" si="9"/>
        <v>0.94</v>
      </c>
      <c r="I184" s="4">
        <f t="shared" si="10"/>
        <v>0.97799511002444983</v>
      </c>
      <c r="J184" s="4">
        <f t="shared" si="11"/>
        <v>0.79940469862868069</v>
      </c>
    </row>
    <row r="185" spans="1:10" x14ac:dyDescent="0.3">
      <c r="A185" s="2">
        <v>45469</v>
      </c>
      <c r="B185" s="3">
        <v>1</v>
      </c>
      <c r="C185" s="3">
        <v>3</v>
      </c>
      <c r="D185">
        <v>90</v>
      </c>
      <c r="E185">
        <v>1978</v>
      </c>
      <c r="F185">
        <v>38</v>
      </c>
      <c r="G185" s="4">
        <f t="shared" si="8"/>
        <v>0.86956521739130432</v>
      </c>
      <c r="H185" s="3">
        <f t="shared" si="9"/>
        <v>0.9</v>
      </c>
      <c r="I185" s="4">
        <f t="shared" si="10"/>
        <v>0.98078867542972703</v>
      </c>
      <c r="J185" s="4">
        <f t="shared" si="11"/>
        <v>0.76757374598848205</v>
      </c>
    </row>
    <row r="186" spans="1:10" x14ac:dyDescent="0.3">
      <c r="A186" s="2">
        <v>45470</v>
      </c>
      <c r="B186" s="3">
        <v>3</v>
      </c>
      <c r="C186" s="3">
        <v>3</v>
      </c>
      <c r="D186">
        <v>89</v>
      </c>
      <c r="E186">
        <v>2278</v>
      </c>
      <c r="F186">
        <v>47</v>
      </c>
      <c r="G186" s="4">
        <f t="shared" si="8"/>
        <v>0.8571428571428571</v>
      </c>
      <c r="H186" s="3">
        <f t="shared" si="9"/>
        <v>0.89</v>
      </c>
      <c r="I186" s="4">
        <f t="shared" si="10"/>
        <v>0.97936786654960495</v>
      </c>
      <c r="J186" s="4">
        <f t="shared" si="11"/>
        <v>0.74711777248212718</v>
      </c>
    </row>
    <row r="187" spans="1:10" x14ac:dyDescent="0.3">
      <c r="A187" s="2">
        <v>45471</v>
      </c>
      <c r="B187" s="3">
        <v>3</v>
      </c>
      <c r="C187" s="3">
        <v>2</v>
      </c>
      <c r="D187">
        <v>89</v>
      </c>
      <c r="E187">
        <v>2159</v>
      </c>
      <c r="F187">
        <v>35</v>
      </c>
      <c r="G187" s="4">
        <f t="shared" si="8"/>
        <v>0.90476190476190477</v>
      </c>
      <c r="H187" s="3">
        <f t="shared" si="9"/>
        <v>0.89</v>
      </c>
      <c r="I187" s="4">
        <f t="shared" si="10"/>
        <v>0.98378879110699402</v>
      </c>
      <c r="J187" s="4">
        <f t="shared" si="11"/>
        <v>0.79218421226758429</v>
      </c>
    </row>
    <row r="188" spans="1:10" x14ac:dyDescent="0.3">
      <c r="A188" s="2">
        <v>45472</v>
      </c>
      <c r="B188" s="3">
        <v>3</v>
      </c>
      <c r="C188" s="3">
        <v>3</v>
      </c>
      <c r="D188">
        <v>92</v>
      </c>
      <c r="E188">
        <v>2246</v>
      </c>
      <c r="F188">
        <v>20</v>
      </c>
      <c r="G188" s="4">
        <f t="shared" si="8"/>
        <v>0.8571428571428571</v>
      </c>
      <c r="H188" s="3">
        <f t="shared" si="9"/>
        <v>0.92</v>
      </c>
      <c r="I188" s="4">
        <f t="shared" si="10"/>
        <v>0.99109528049866424</v>
      </c>
      <c r="J188" s="4">
        <f t="shared" si="11"/>
        <v>0.78154942119323234</v>
      </c>
    </row>
    <row r="189" spans="1:10" x14ac:dyDescent="0.3">
      <c r="A189" s="2">
        <v>45473</v>
      </c>
      <c r="B189" s="3">
        <v>3</v>
      </c>
      <c r="C189" s="3">
        <v>1</v>
      </c>
      <c r="D189">
        <v>82</v>
      </c>
      <c r="E189">
        <v>1712</v>
      </c>
      <c r="F189">
        <v>60</v>
      </c>
      <c r="G189" s="4">
        <f t="shared" si="8"/>
        <v>0.95238095238095233</v>
      </c>
      <c r="H189" s="3">
        <f t="shared" si="9"/>
        <v>0.82</v>
      </c>
      <c r="I189" s="4">
        <f t="shared" si="10"/>
        <v>0.96495327102803741</v>
      </c>
      <c r="J189" s="4">
        <f t="shared" si="11"/>
        <v>0.75358255451713385</v>
      </c>
    </row>
    <row r="190" spans="1:10" x14ac:dyDescent="0.3">
      <c r="A190" s="2">
        <v>45474</v>
      </c>
      <c r="B190" s="3">
        <v>2</v>
      </c>
      <c r="C190" s="3">
        <v>2</v>
      </c>
      <c r="D190">
        <v>87</v>
      </c>
      <c r="E190">
        <v>1931</v>
      </c>
      <c r="F190">
        <v>36</v>
      </c>
      <c r="G190" s="4">
        <f t="shared" si="8"/>
        <v>0.90909090909090906</v>
      </c>
      <c r="H190" s="3">
        <f t="shared" si="9"/>
        <v>0.87</v>
      </c>
      <c r="I190" s="4">
        <f t="shared" si="10"/>
        <v>0.98135680994303465</v>
      </c>
      <c r="J190" s="4">
        <f t="shared" si="11"/>
        <v>0.77616402240949101</v>
      </c>
    </row>
    <row r="191" spans="1:10" x14ac:dyDescent="0.3">
      <c r="A191" s="2">
        <v>45475</v>
      </c>
      <c r="B191" s="3">
        <v>3</v>
      </c>
      <c r="C191" s="3">
        <v>2</v>
      </c>
      <c r="D191">
        <v>81</v>
      </c>
      <c r="E191">
        <v>2271</v>
      </c>
      <c r="F191">
        <v>55</v>
      </c>
      <c r="G191" s="4">
        <f t="shared" si="8"/>
        <v>0.90476190476190477</v>
      </c>
      <c r="H191" s="3">
        <f t="shared" si="9"/>
        <v>0.81</v>
      </c>
      <c r="I191" s="4">
        <f t="shared" si="10"/>
        <v>0.97578159401144871</v>
      </c>
      <c r="J191" s="4">
        <f t="shared" si="11"/>
        <v>0.71510851103981887</v>
      </c>
    </row>
    <row r="192" spans="1:10" x14ac:dyDescent="0.3">
      <c r="A192" s="2">
        <v>45476</v>
      </c>
      <c r="B192" s="3">
        <v>3</v>
      </c>
      <c r="C192" s="3">
        <v>1</v>
      </c>
      <c r="D192">
        <v>92</v>
      </c>
      <c r="E192">
        <v>2065</v>
      </c>
      <c r="F192">
        <v>42</v>
      </c>
      <c r="G192" s="4">
        <f t="shared" si="8"/>
        <v>0.95238095238095233</v>
      </c>
      <c r="H192" s="3">
        <f t="shared" si="9"/>
        <v>0.92</v>
      </c>
      <c r="I192" s="4">
        <f t="shared" si="10"/>
        <v>0.97966101694915253</v>
      </c>
      <c r="J192" s="4">
        <f t="shared" si="11"/>
        <v>0.85836965294592416</v>
      </c>
    </row>
    <row r="193" spans="1:10" x14ac:dyDescent="0.3">
      <c r="A193" s="2">
        <v>45477</v>
      </c>
      <c r="B193" s="3">
        <v>3</v>
      </c>
      <c r="C193" s="3">
        <v>2</v>
      </c>
      <c r="D193">
        <v>84</v>
      </c>
      <c r="E193">
        <v>2019</v>
      </c>
      <c r="F193">
        <v>35</v>
      </c>
      <c r="G193" s="4">
        <f t="shared" si="8"/>
        <v>0.90476190476190477</v>
      </c>
      <c r="H193" s="3">
        <f t="shared" si="9"/>
        <v>0.84</v>
      </c>
      <c r="I193" s="4">
        <f t="shared" si="10"/>
        <v>0.98266468548786523</v>
      </c>
      <c r="J193" s="4">
        <f t="shared" si="11"/>
        <v>0.74682516097077756</v>
      </c>
    </row>
    <row r="194" spans="1:10" x14ac:dyDescent="0.3">
      <c r="A194" s="2">
        <v>45478</v>
      </c>
      <c r="B194" s="3">
        <v>1</v>
      </c>
      <c r="C194" s="3">
        <v>2</v>
      </c>
      <c r="D194">
        <v>97</v>
      </c>
      <c r="E194">
        <v>1706</v>
      </c>
      <c r="F194">
        <v>29</v>
      </c>
      <c r="G194" s="4">
        <f t="shared" si="8"/>
        <v>0.91304347826086951</v>
      </c>
      <c r="H194" s="3">
        <f t="shared" si="9"/>
        <v>0.97</v>
      </c>
      <c r="I194" s="4">
        <f t="shared" si="10"/>
        <v>0.9830011723329426</v>
      </c>
      <c r="J194" s="4">
        <f t="shared" si="11"/>
        <v>0.87059712523574084</v>
      </c>
    </row>
    <row r="195" spans="1:10" x14ac:dyDescent="0.3">
      <c r="A195" s="2">
        <v>45479</v>
      </c>
      <c r="B195" s="3">
        <v>1</v>
      </c>
      <c r="C195" s="3">
        <v>2</v>
      </c>
      <c r="D195">
        <v>87</v>
      </c>
      <c r="E195">
        <v>2200</v>
      </c>
      <c r="F195">
        <v>37</v>
      </c>
      <c r="G195" s="4">
        <f t="shared" si="8"/>
        <v>0.91304347826086951</v>
      </c>
      <c r="H195" s="3">
        <f t="shared" si="9"/>
        <v>0.87</v>
      </c>
      <c r="I195" s="4">
        <f t="shared" si="10"/>
        <v>0.98318181818181816</v>
      </c>
      <c r="J195" s="4">
        <f t="shared" si="11"/>
        <v>0.78098833992094852</v>
      </c>
    </row>
    <row r="196" spans="1:10" x14ac:dyDescent="0.3">
      <c r="A196" s="2">
        <v>45480</v>
      </c>
      <c r="B196" s="3">
        <v>2</v>
      </c>
      <c r="C196" s="3">
        <v>3</v>
      </c>
      <c r="D196">
        <v>88</v>
      </c>
      <c r="E196">
        <v>1792</v>
      </c>
      <c r="F196">
        <v>40</v>
      </c>
      <c r="G196" s="4">
        <f t="shared" si="8"/>
        <v>0.86363636363636365</v>
      </c>
      <c r="H196" s="3">
        <f t="shared" si="9"/>
        <v>0.88</v>
      </c>
      <c r="I196" s="4">
        <f t="shared" si="10"/>
        <v>0.9776785714285714</v>
      </c>
      <c r="J196" s="4">
        <f t="shared" si="11"/>
        <v>0.74303571428571424</v>
      </c>
    </row>
    <row r="197" spans="1:10" x14ac:dyDescent="0.3">
      <c r="A197" s="2">
        <v>45481</v>
      </c>
      <c r="B197" s="3">
        <v>2</v>
      </c>
      <c r="C197" s="3">
        <v>1</v>
      </c>
      <c r="D197">
        <v>90</v>
      </c>
      <c r="E197">
        <v>2127</v>
      </c>
      <c r="F197">
        <v>56</v>
      </c>
      <c r="G197" s="4">
        <f t="shared" si="8"/>
        <v>0.95454545454545459</v>
      </c>
      <c r="H197" s="3">
        <f t="shared" si="9"/>
        <v>0.9</v>
      </c>
      <c r="I197" s="4">
        <f t="shared" si="10"/>
        <v>0.9736718382698637</v>
      </c>
      <c r="J197" s="4">
        <f t="shared" si="11"/>
        <v>0.8364726246954739</v>
      </c>
    </row>
    <row r="198" spans="1:10" x14ac:dyDescent="0.3">
      <c r="A198" s="2">
        <v>45482</v>
      </c>
      <c r="B198" s="3">
        <v>3</v>
      </c>
      <c r="C198" s="3">
        <v>2</v>
      </c>
      <c r="D198">
        <v>85</v>
      </c>
      <c r="E198">
        <v>2174</v>
      </c>
      <c r="F198">
        <v>45</v>
      </c>
      <c r="G198" s="4">
        <f t="shared" si="8"/>
        <v>0.90476190476190477</v>
      </c>
      <c r="H198" s="3">
        <f t="shared" si="9"/>
        <v>0.85</v>
      </c>
      <c r="I198" s="4">
        <f t="shared" si="10"/>
        <v>0.97930082796688134</v>
      </c>
      <c r="J198" s="4">
        <f t="shared" si="11"/>
        <v>0.75312897007929203</v>
      </c>
    </row>
    <row r="199" spans="1:10" x14ac:dyDescent="0.3">
      <c r="A199" s="2">
        <v>45483</v>
      </c>
      <c r="B199" s="3">
        <v>3</v>
      </c>
      <c r="C199" s="3">
        <v>2</v>
      </c>
      <c r="D199">
        <v>97</v>
      </c>
      <c r="E199">
        <v>2053</v>
      </c>
      <c r="F199">
        <v>44</v>
      </c>
      <c r="G199" s="4">
        <f t="shared" si="8"/>
        <v>0.90476190476190477</v>
      </c>
      <c r="H199" s="3">
        <f t="shared" si="9"/>
        <v>0.97</v>
      </c>
      <c r="I199" s="4">
        <f t="shared" si="10"/>
        <v>0.97856794934242575</v>
      </c>
      <c r="J199" s="4">
        <f t="shared" si="11"/>
        <v>0.85880987173242418</v>
      </c>
    </row>
    <row r="200" spans="1:10" x14ac:dyDescent="0.3">
      <c r="A200" s="2">
        <v>45484</v>
      </c>
      <c r="B200" s="3">
        <v>2</v>
      </c>
      <c r="C200" s="3">
        <v>3</v>
      </c>
      <c r="D200">
        <v>95</v>
      </c>
      <c r="E200">
        <v>1822</v>
      </c>
      <c r="F200">
        <v>58</v>
      </c>
      <c r="G200" s="4">
        <f t="shared" ref="G200:G263" si="12">($G$3-B200-C200)/($G$3-B200)</f>
        <v>0.86363636363636365</v>
      </c>
      <c r="H200" s="3">
        <f t="shared" si="9"/>
        <v>0.95</v>
      </c>
      <c r="I200" s="4">
        <f t="shared" si="10"/>
        <v>0.96816684961580679</v>
      </c>
      <c r="J200" s="4">
        <f t="shared" si="11"/>
        <v>0.79433689252569606</v>
      </c>
    </row>
    <row r="201" spans="1:10" x14ac:dyDescent="0.3">
      <c r="A201" s="2">
        <v>45485</v>
      </c>
      <c r="B201" s="3">
        <v>2</v>
      </c>
      <c r="C201" s="3">
        <v>3</v>
      </c>
      <c r="D201">
        <v>91</v>
      </c>
      <c r="E201">
        <v>2153</v>
      </c>
      <c r="F201">
        <v>21</v>
      </c>
      <c r="G201" s="4">
        <f t="shared" si="12"/>
        <v>0.86363636363636365</v>
      </c>
      <c r="H201" s="3">
        <f t="shared" ref="H201:H264" si="13">D201/$G$4</f>
        <v>0.91</v>
      </c>
      <c r="I201" s="4">
        <f t="shared" ref="I201:I264" si="14">(E201-F201)/E201</f>
        <v>0.99024616813748256</v>
      </c>
      <c r="J201" s="4">
        <f t="shared" ref="J201:J264" si="15">G201*H201*I201</f>
        <v>0.77824346577713965</v>
      </c>
    </row>
    <row r="202" spans="1:10" x14ac:dyDescent="0.3">
      <c r="A202" s="2">
        <v>45486</v>
      </c>
      <c r="B202" s="3">
        <v>3</v>
      </c>
      <c r="C202" s="3">
        <v>1</v>
      </c>
      <c r="D202">
        <v>80</v>
      </c>
      <c r="E202">
        <v>2094</v>
      </c>
      <c r="F202">
        <v>25</v>
      </c>
      <c r="G202" s="4">
        <f t="shared" si="12"/>
        <v>0.95238095238095233</v>
      </c>
      <c r="H202" s="3">
        <f t="shared" si="13"/>
        <v>0.8</v>
      </c>
      <c r="I202" s="4">
        <f t="shared" si="14"/>
        <v>0.98806112702960835</v>
      </c>
      <c r="J202" s="4">
        <f t="shared" si="15"/>
        <v>0.75280847773684445</v>
      </c>
    </row>
    <row r="203" spans="1:10" x14ac:dyDescent="0.3">
      <c r="A203" s="2">
        <v>45487</v>
      </c>
      <c r="B203" s="3">
        <v>1</v>
      </c>
      <c r="C203" s="3">
        <v>3</v>
      </c>
      <c r="D203">
        <v>91</v>
      </c>
      <c r="E203">
        <v>2177</v>
      </c>
      <c r="F203">
        <v>34</v>
      </c>
      <c r="G203" s="4">
        <f t="shared" si="12"/>
        <v>0.86956521739130432</v>
      </c>
      <c r="H203" s="3">
        <f t="shared" si="13"/>
        <v>0.91</v>
      </c>
      <c r="I203" s="4">
        <f t="shared" si="14"/>
        <v>0.98438217730822231</v>
      </c>
      <c r="J203" s="4">
        <f t="shared" si="15"/>
        <v>0.77894589682650628</v>
      </c>
    </row>
    <row r="204" spans="1:10" x14ac:dyDescent="0.3">
      <c r="A204" s="2">
        <v>45488</v>
      </c>
      <c r="B204" s="3">
        <v>2</v>
      </c>
      <c r="C204" s="3">
        <v>1</v>
      </c>
      <c r="D204">
        <v>94</v>
      </c>
      <c r="E204">
        <v>1740</v>
      </c>
      <c r="F204">
        <v>50</v>
      </c>
      <c r="G204" s="4">
        <f t="shared" si="12"/>
        <v>0.95454545454545459</v>
      </c>
      <c r="H204" s="3">
        <f t="shared" si="13"/>
        <v>0.94</v>
      </c>
      <c r="I204" s="4">
        <f t="shared" si="14"/>
        <v>0.97126436781609193</v>
      </c>
      <c r="J204" s="4">
        <f t="shared" si="15"/>
        <v>0.87148902821316609</v>
      </c>
    </row>
    <row r="205" spans="1:10" x14ac:dyDescent="0.3">
      <c r="A205" s="2">
        <v>45489</v>
      </c>
      <c r="B205" s="3">
        <v>2</v>
      </c>
      <c r="C205" s="3">
        <v>2</v>
      </c>
      <c r="D205">
        <v>83</v>
      </c>
      <c r="E205">
        <v>1980</v>
      </c>
      <c r="F205">
        <v>21</v>
      </c>
      <c r="G205" s="4">
        <f t="shared" si="12"/>
        <v>0.90909090909090906</v>
      </c>
      <c r="H205" s="3">
        <f t="shared" si="13"/>
        <v>0.83</v>
      </c>
      <c r="I205" s="4">
        <f t="shared" si="14"/>
        <v>0.98939393939393938</v>
      </c>
      <c r="J205" s="4">
        <f t="shared" si="15"/>
        <v>0.74654269972451792</v>
      </c>
    </row>
    <row r="206" spans="1:10" x14ac:dyDescent="0.3">
      <c r="A206" s="2">
        <v>45490</v>
      </c>
      <c r="B206" s="3">
        <v>2</v>
      </c>
      <c r="C206" s="3">
        <v>1</v>
      </c>
      <c r="D206">
        <v>80</v>
      </c>
      <c r="E206">
        <v>1870</v>
      </c>
      <c r="F206">
        <v>56</v>
      </c>
      <c r="G206" s="4">
        <f t="shared" si="12"/>
        <v>0.95454545454545459</v>
      </c>
      <c r="H206" s="3">
        <f t="shared" si="13"/>
        <v>0.8</v>
      </c>
      <c r="I206" s="4">
        <f t="shared" si="14"/>
        <v>0.97005347593582891</v>
      </c>
      <c r="J206" s="4">
        <f t="shared" si="15"/>
        <v>0.74076810889645117</v>
      </c>
    </row>
    <row r="207" spans="1:10" x14ac:dyDescent="0.3">
      <c r="A207" s="2">
        <v>45491</v>
      </c>
      <c r="B207" s="3">
        <v>3</v>
      </c>
      <c r="C207" s="3">
        <v>3</v>
      </c>
      <c r="D207">
        <v>89</v>
      </c>
      <c r="E207">
        <v>1752</v>
      </c>
      <c r="F207">
        <v>56</v>
      </c>
      <c r="G207" s="4">
        <f t="shared" si="12"/>
        <v>0.8571428571428571</v>
      </c>
      <c r="H207" s="3">
        <f t="shared" si="13"/>
        <v>0.89</v>
      </c>
      <c r="I207" s="4">
        <f t="shared" si="14"/>
        <v>0.96803652968036524</v>
      </c>
      <c r="J207" s="4">
        <f t="shared" si="15"/>
        <v>0.73847358121330708</v>
      </c>
    </row>
    <row r="208" spans="1:10" x14ac:dyDescent="0.3">
      <c r="A208" s="2">
        <v>45492</v>
      </c>
      <c r="B208" s="3">
        <v>1</v>
      </c>
      <c r="C208" s="3">
        <v>3</v>
      </c>
      <c r="D208">
        <v>90</v>
      </c>
      <c r="E208">
        <v>2158</v>
      </c>
      <c r="F208">
        <v>51</v>
      </c>
      <c r="G208" s="4">
        <f t="shared" si="12"/>
        <v>0.86956521739130432</v>
      </c>
      <c r="H208" s="3">
        <f t="shared" si="13"/>
        <v>0.9</v>
      </c>
      <c r="I208" s="4">
        <f t="shared" si="14"/>
        <v>0.97636700648748842</v>
      </c>
      <c r="J208" s="4">
        <f t="shared" si="15"/>
        <v>0.76411330942499101</v>
      </c>
    </row>
    <row r="209" spans="1:10" x14ac:dyDescent="0.3">
      <c r="A209" s="2">
        <v>45493</v>
      </c>
      <c r="B209" s="3">
        <v>1</v>
      </c>
      <c r="C209" s="3">
        <v>2</v>
      </c>
      <c r="D209">
        <v>99</v>
      </c>
      <c r="E209">
        <v>2057</v>
      </c>
      <c r="F209">
        <v>38</v>
      </c>
      <c r="G209" s="4">
        <f t="shared" si="12"/>
        <v>0.91304347826086951</v>
      </c>
      <c r="H209" s="3">
        <f t="shared" si="13"/>
        <v>0.99</v>
      </c>
      <c r="I209" s="4">
        <f t="shared" si="14"/>
        <v>0.98152649489547883</v>
      </c>
      <c r="J209" s="4">
        <f t="shared" si="15"/>
        <v>0.88721460125552187</v>
      </c>
    </row>
    <row r="210" spans="1:10" x14ac:dyDescent="0.3">
      <c r="A210" s="2">
        <v>45494</v>
      </c>
      <c r="B210" s="3">
        <v>3</v>
      </c>
      <c r="C210" s="3">
        <v>1</v>
      </c>
      <c r="D210">
        <v>89</v>
      </c>
      <c r="E210">
        <v>2004</v>
      </c>
      <c r="F210">
        <v>56</v>
      </c>
      <c r="G210" s="4">
        <f t="shared" si="12"/>
        <v>0.95238095238095233</v>
      </c>
      <c r="H210" s="3">
        <f t="shared" si="13"/>
        <v>0.89</v>
      </c>
      <c r="I210" s="4">
        <f t="shared" si="14"/>
        <v>0.97205588822355293</v>
      </c>
      <c r="J210" s="4">
        <f t="shared" si="15"/>
        <v>0.82393308620853534</v>
      </c>
    </row>
    <row r="211" spans="1:10" x14ac:dyDescent="0.3">
      <c r="A211" s="2">
        <v>45495</v>
      </c>
      <c r="B211" s="3">
        <v>3</v>
      </c>
      <c r="C211" s="3">
        <v>1</v>
      </c>
      <c r="D211">
        <v>81</v>
      </c>
      <c r="E211">
        <v>2078</v>
      </c>
      <c r="F211">
        <v>29</v>
      </c>
      <c r="G211" s="4">
        <f t="shared" si="12"/>
        <v>0.95238095238095233</v>
      </c>
      <c r="H211" s="3">
        <f t="shared" si="13"/>
        <v>0.81</v>
      </c>
      <c r="I211" s="4">
        <f t="shared" si="14"/>
        <v>0.98604427333974976</v>
      </c>
      <c r="J211" s="4">
        <f t="shared" si="15"/>
        <v>0.76066272514780697</v>
      </c>
    </row>
    <row r="212" spans="1:10" x14ac:dyDescent="0.3">
      <c r="A212" s="2">
        <v>45496</v>
      </c>
      <c r="B212" s="3">
        <v>2</v>
      </c>
      <c r="C212" s="3">
        <v>2</v>
      </c>
      <c r="D212">
        <v>85</v>
      </c>
      <c r="E212">
        <v>1972</v>
      </c>
      <c r="F212">
        <v>20</v>
      </c>
      <c r="G212" s="4">
        <f t="shared" si="12"/>
        <v>0.90909090909090906</v>
      </c>
      <c r="H212" s="3">
        <f t="shared" si="13"/>
        <v>0.85</v>
      </c>
      <c r="I212" s="4">
        <f t="shared" si="14"/>
        <v>0.98985801217038538</v>
      </c>
      <c r="J212" s="4">
        <f t="shared" si="15"/>
        <v>0.76489028213166144</v>
      </c>
    </row>
    <row r="213" spans="1:10" x14ac:dyDescent="0.3">
      <c r="A213" s="2">
        <v>45497</v>
      </c>
      <c r="B213" s="3">
        <v>2</v>
      </c>
      <c r="C213" s="3">
        <v>3</v>
      </c>
      <c r="D213">
        <v>81</v>
      </c>
      <c r="E213">
        <v>2078</v>
      </c>
      <c r="F213">
        <v>25</v>
      </c>
      <c r="G213" s="4">
        <f t="shared" si="12"/>
        <v>0.86363636363636365</v>
      </c>
      <c r="H213" s="3">
        <f t="shared" si="13"/>
        <v>0.81</v>
      </c>
      <c r="I213" s="4">
        <f t="shared" si="14"/>
        <v>0.98796920115495668</v>
      </c>
      <c r="J213" s="4">
        <f t="shared" si="15"/>
        <v>0.69112936389885382</v>
      </c>
    </row>
    <row r="214" spans="1:10" x14ac:dyDescent="0.3">
      <c r="A214" s="2">
        <v>45498</v>
      </c>
      <c r="B214" s="3">
        <v>1</v>
      </c>
      <c r="C214" s="3">
        <v>1</v>
      </c>
      <c r="D214">
        <v>95</v>
      </c>
      <c r="E214">
        <v>1897</v>
      </c>
      <c r="F214">
        <v>34</v>
      </c>
      <c r="G214" s="4">
        <f t="shared" si="12"/>
        <v>0.95652173913043481</v>
      </c>
      <c r="H214" s="3">
        <f t="shared" si="13"/>
        <v>0.95</v>
      </c>
      <c r="I214" s="4">
        <f t="shared" si="14"/>
        <v>0.9820769636267791</v>
      </c>
      <c r="J214" s="4">
        <f t="shared" si="15"/>
        <v>0.8924090669478123</v>
      </c>
    </row>
    <row r="215" spans="1:10" x14ac:dyDescent="0.3">
      <c r="A215" s="2">
        <v>45499</v>
      </c>
      <c r="B215" s="3">
        <v>2</v>
      </c>
      <c r="C215" s="3">
        <v>3</v>
      </c>
      <c r="D215">
        <v>94</v>
      </c>
      <c r="E215">
        <v>2075</v>
      </c>
      <c r="F215">
        <v>29</v>
      </c>
      <c r="G215" s="4">
        <f t="shared" si="12"/>
        <v>0.86363636363636365</v>
      </c>
      <c r="H215" s="3">
        <f t="shared" si="13"/>
        <v>0.94</v>
      </c>
      <c r="I215" s="4">
        <f t="shared" si="14"/>
        <v>0.98602409638554211</v>
      </c>
      <c r="J215" s="4">
        <f t="shared" si="15"/>
        <v>0.80047228915662638</v>
      </c>
    </row>
    <row r="216" spans="1:10" x14ac:dyDescent="0.3">
      <c r="A216" s="2">
        <v>45500</v>
      </c>
      <c r="B216" s="3">
        <v>3</v>
      </c>
      <c r="C216" s="3">
        <v>1</v>
      </c>
      <c r="D216">
        <v>82</v>
      </c>
      <c r="E216">
        <v>2043</v>
      </c>
      <c r="F216">
        <v>55</v>
      </c>
      <c r="G216" s="4">
        <f t="shared" si="12"/>
        <v>0.95238095238095233</v>
      </c>
      <c r="H216" s="3">
        <f t="shared" si="13"/>
        <v>0.82</v>
      </c>
      <c r="I216" s="4">
        <f t="shared" si="14"/>
        <v>0.9730788056779246</v>
      </c>
      <c r="J216" s="4">
        <f t="shared" si="15"/>
        <v>0.75992821014847434</v>
      </c>
    </row>
    <row r="217" spans="1:10" x14ac:dyDescent="0.3">
      <c r="A217" s="2">
        <v>45501</v>
      </c>
      <c r="B217" s="3">
        <v>2</v>
      </c>
      <c r="C217" s="3">
        <v>3</v>
      </c>
      <c r="D217">
        <v>84</v>
      </c>
      <c r="E217">
        <v>2004</v>
      </c>
      <c r="F217">
        <v>60</v>
      </c>
      <c r="G217" s="4">
        <f t="shared" si="12"/>
        <v>0.86363636363636365</v>
      </c>
      <c r="H217" s="3">
        <f t="shared" si="13"/>
        <v>0.84</v>
      </c>
      <c r="I217" s="4">
        <f t="shared" si="14"/>
        <v>0.97005988023952094</v>
      </c>
      <c r="J217" s="4">
        <f t="shared" si="15"/>
        <v>0.70373434948285252</v>
      </c>
    </row>
    <row r="218" spans="1:10" x14ac:dyDescent="0.3">
      <c r="A218" s="2">
        <v>45502</v>
      </c>
      <c r="B218" s="3">
        <v>3</v>
      </c>
      <c r="C218" s="3">
        <v>2</v>
      </c>
      <c r="D218">
        <v>85</v>
      </c>
      <c r="E218">
        <v>1811</v>
      </c>
      <c r="F218">
        <v>42</v>
      </c>
      <c r="G218" s="4">
        <f t="shared" si="12"/>
        <v>0.90476190476190477</v>
      </c>
      <c r="H218" s="3">
        <f t="shared" si="13"/>
        <v>0.85</v>
      </c>
      <c r="I218" s="4">
        <f t="shared" si="14"/>
        <v>0.9768083931529542</v>
      </c>
      <c r="J218" s="4">
        <f t="shared" si="15"/>
        <v>0.75121216902000998</v>
      </c>
    </row>
    <row r="219" spans="1:10" x14ac:dyDescent="0.3">
      <c r="A219" s="2">
        <v>45503</v>
      </c>
      <c r="B219" s="3">
        <v>3</v>
      </c>
      <c r="C219" s="3">
        <v>3</v>
      </c>
      <c r="D219">
        <v>90</v>
      </c>
      <c r="E219">
        <v>1846</v>
      </c>
      <c r="F219">
        <v>38</v>
      </c>
      <c r="G219" s="4">
        <f t="shared" si="12"/>
        <v>0.8571428571428571</v>
      </c>
      <c r="H219" s="3">
        <f t="shared" si="13"/>
        <v>0.9</v>
      </c>
      <c r="I219" s="4">
        <f t="shared" si="14"/>
        <v>0.97941495124593714</v>
      </c>
      <c r="J219" s="4">
        <f t="shared" si="15"/>
        <v>0.75554867667543713</v>
      </c>
    </row>
    <row r="220" spans="1:10" x14ac:dyDescent="0.3">
      <c r="A220" s="2">
        <v>45504</v>
      </c>
      <c r="B220" s="3">
        <v>2</v>
      </c>
      <c r="C220" s="3">
        <v>3</v>
      </c>
      <c r="D220">
        <v>80</v>
      </c>
      <c r="E220">
        <v>2128</v>
      </c>
      <c r="F220">
        <v>20</v>
      </c>
      <c r="G220" s="4">
        <f t="shared" si="12"/>
        <v>0.86363636363636365</v>
      </c>
      <c r="H220" s="3">
        <f t="shared" si="13"/>
        <v>0.8</v>
      </c>
      <c r="I220" s="4">
        <f t="shared" si="14"/>
        <v>0.99060150375939848</v>
      </c>
      <c r="J220" s="4">
        <f t="shared" si="15"/>
        <v>0.68441558441558437</v>
      </c>
    </row>
    <row r="221" spans="1:10" x14ac:dyDescent="0.3">
      <c r="A221" s="2">
        <v>45505</v>
      </c>
      <c r="B221" s="3">
        <v>3</v>
      </c>
      <c r="C221" s="3">
        <v>1</v>
      </c>
      <c r="D221">
        <v>96</v>
      </c>
      <c r="E221">
        <v>1711</v>
      </c>
      <c r="F221">
        <v>60</v>
      </c>
      <c r="G221" s="4">
        <f t="shared" si="12"/>
        <v>0.95238095238095233</v>
      </c>
      <c r="H221" s="3">
        <f t="shared" si="13"/>
        <v>0.96</v>
      </c>
      <c r="I221" s="4">
        <f t="shared" si="14"/>
        <v>0.96493278784336645</v>
      </c>
      <c r="J221" s="4">
        <f t="shared" si="15"/>
        <v>0.88222426317107772</v>
      </c>
    </row>
    <row r="222" spans="1:10" x14ac:dyDescent="0.3">
      <c r="A222" s="2">
        <v>45506</v>
      </c>
      <c r="B222" s="3">
        <v>3</v>
      </c>
      <c r="C222" s="3">
        <v>2</v>
      </c>
      <c r="D222">
        <v>90</v>
      </c>
      <c r="E222">
        <v>1878</v>
      </c>
      <c r="F222">
        <v>56</v>
      </c>
      <c r="G222" s="4">
        <f t="shared" si="12"/>
        <v>0.90476190476190477</v>
      </c>
      <c r="H222" s="3">
        <f t="shared" si="13"/>
        <v>0.9</v>
      </c>
      <c r="I222" s="4">
        <f t="shared" si="14"/>
        <v>0.9701810436634718</v>
      </c>
      <c r="J222" s="4">
        <f t="shared" si="15"/>
        <v>0.79000456412596987</v>
      </c>
    </row>
    <row r="223" spans="1:10" x14ac:dyDescent="0.3">
      <c r="A223" s="2">
        <v>45507</v>
      </c>
      <c r="B223" s="3">
        <v>1</v>
      </c>
      <c r="C223" s="3">
        <v>1</v>
      </c>
      <c r="D223">
        <v>83</v>
      </c>
      <c r="E223">
        <v>1822</v>
      </c>
      <c r="F223">
        <v>32</v>
      </c>
      <c r="G223" s="4">
        <f t="shared" si="12"/>
        <v>0.95652173913043481</v>
      </c>
      <c r="H223" s="3">
        <f t="shared" si="13"/>
        <v>0.83</v>
      </c>
      <c r="I223" s="4">
        <f t="shared" si="14"/>
        <v>0.98243688254665207</v>
      </c>
      <c r="J223" s="4">
        <f t="shared" si="15"/>
        <v>0.77996945544790719</v>
      </c>
    </row>
    <row r="224" spans="1:10" x14ac:dyDescent="0.3">
      <c r="A224" s="2">
        <v>45508</v>
      </c>
      <c r="B224" s="3">
        <v>3</v>
      </c>
      <c r="C224" s="3">
        <v>2</v>
      </c>
      <c r="D224">
        <v>95</v>
      </c>
      <c r="E224">
        <v>1929</v>
      </c>
      <c r="F224">
        <v>34</v>
      </c>
      <c r="G224" s="4">
        <f t="shared" si="12"/>
        <v>0.90476190476190477</v>
      </c>
      <c r="H224" s="3">
        <f t="shared" si="13"/>
        <v>0.95</v>
      </c>
      <c r="I224" s="4">
        <f t="shared" si="14"/>
        <v>0.98237428719543807</v>
      </c>
      <c r="J224" s="4">
        <f t="shared" si="15"/>
        <v>0.84437408970845984</v>
      </c>
    </row>
    <row r="225" spans="1:10" x14ac:dyDescent="0.3">
      <c r="A225" s="2">
        <v>45509</v>
      </c>
      <c r="B225" s="3">
        <v>1</v>
      </c>
      <c r="C225" s="3">
        <v>2</v>
      </c>
      <c r="D225">
        <v>84</v>
      </c>
      <c r="E225">
        <v>2229</v>
      </c>
      <c r="F225">
        <v>20</v>
      </c>
      <c r="G225" s="4">
        <f t="shared" si="12"/>
        <v>0.91304347826086951</v>
      </c>
      <c r="H225" s="3">
        <f t="shared" si="13"/>
        <v>0.84</v>
      </c>
      <c r="I225" s="4">
        <f t="shared" si="14"/>
        <v>0.99102736653207713</v>
      </c>
      <c r="J225" s="4">
        <f t="shared" si="15"/>
        <v>0.76007490198373207</v>
      </c>
    </row>
    <row r="226" spans="1:10" x14ac:dyDescent="0.3">
      <c r="A226" s="2">
        <v>45510</v>
      </c>
      <c r="B226" s="3">
        <v>1</v>
      </c>
      <c r="C226" s="3">
        <v>2</v>
      </c>
      <c r="D226">
        <v>93</v>
      </c>
      <c r="E226">
        <v>2107</v>
      </c>
      <c r="F226">
        <v>26</v>
      </c>
      <c r="G226" s="4">
        <f t="shared" si="12"/>
        <v>0.91304347826086951</v>
      </c>
      <c r="H226" s="3">
        <f t="shared" si="13"/>
        <v>0.93</v>
      </c>
      <c r="I226" s="4">
        <f t="shared" si="14"/>
        <v>0.98766018035121028</v>
      </c>
      <c r="J226" s="4">
        <f t="shared" si="15"/>
        <v>0.83865231835909293</v>
      </c>
    </row>
    <row r="227" spans="1:10" x14ac:dyDescent="0.3">
      <c r="A227" s="2">
        <v>45511</v>
      </c>
      <c r="B227" s="3">
        <v>2</v>
      </c>
      <c r="C227" s="3">
        <v>3</v>
      </c>
      <c r="D227">
        <v>91</v>
      </c>
      <c r="E227">
        <v>2289</v>
      </c>
      <c r="F227">
        <v>54</v>
      </c>
      <c r="G227" s="4">
        <f t="shared" si="12"/>
        <v>0.86363636363636365</v>
      </c>
      <c r="H227" s="3">
        <f t="shared" si="13"/>
        <v>0.91</v>
      </c>
      <c r="I227" s="4">
        <f t="shared" si="14"/>
        <v>0.97640891218872872</v>
      </c>
      <c r="J227" s="4">
        <f t="shared" si="15"/>
        <v>0.76736864053377818</v>
      </c>
    </row>
    <row r="228" spans="1:10" x14ac:dyDescent="0.3">
      <c r="A228" s="2">
        <v>45512</v>
      </c>
      <c r="B228" s="3">
        <v>1</v>
      </c>
      <c r="C228" s="3">
        <v>3</v>
      </c>
      <c r="D228">
        <v>97</v>
      </c>
      <c r="E228">
        <v>1790</v>
      </c>
      <c r="F228">
        <v>36</v>
      </c>
      <c r="G228" s="4">
        <f t="shared" si="12"/>
        <v>0.86956521739130432</v>
      </c>
      <c r="H228" s="3">
        <f t="shared" si="13"/>
        <v>0.97</v>
      </c>
      <c r="I228" s="4">
        <f t="shared" si="14"/>
        <v>0.9798882681564246</v>
      </c>
      <c r="J228" s="4">
        <f t="shared" si="15"/>
        <v>0.82651445227107112</v>
      </c>
    </row>
    <row r="229" spans="1:10" x14ac:dyDescent="0.3">
      <c r="A229" s="2">
        <v>45513</v>
      </c>
      <c r="B229" s="3">
        <v>2</v>
      </c>
      <c r="C229" s="3">
        <v>2</v>
      </c>
      <c r="D229">
        <v>94</v>
      </c>
      <c r="E229">
        <v>1898</v>
      </c>
      <c r="F229">
        <v>40</v>
      </c>
      <c r="G229" s="4">
        <f t="shared" si="12"/>
        <v>0.90909090909090906</v>
      </c>
      <c r="H229" s="3">
        <f t="shared" si="13"/>
        <v>0.94</v>
      </c>
      <c r="I229" s="4">
        <f t="shared" si="14"/>
        <v>0.97892518440463649</v>
      </c>
      <c r="J229" s="4">
        <f t="shared" si="15"/>
        <v>0.83653606667305291</v>
      </c>
    </row>
    <row r="230" spans="1:10" x14ac:dyDescent="0.3">
      <c r="A230" s="2">
        <v>45514</v>
      </c>
      <c r="B230" s="3">
        <v>2</v>
      </c>
      <c r="C230" s="3">
        <v>1</v>
      </c>
      <c r="D230">
        <v>96</v>
      </c>
      <c r="E230">
        <v>1932</v>
      </c>
      <c r="F230">
        <v>26</v>
      </c>
      <c r="G230" s="4">
        <f t="shared" si="12"/>
        <v>0.95454545454545459</v>
      </c>
      <c r="H230" s="3">
        <f t="shared" si="13"/>
        <v>0.96</v>
      </c>
      <c r="I230" s="4">
        <f t="shared" si="14"/>
        <v>0.98654244306418215</v>
      </c>
      <c r="J230" s="4">
        <f t="shared" si="15"/>
        <v>0.90403162055335962</v>
      </c>
    </row>
    <row r="231" spans="1:10" x14ac:dyDescent="0.3">
      <c r="A231" s="2">
        <v>45515</v>
      </c>
      <c r="B231" s="3">
        <v>2</v>
      </c>
      <c r="C231" s="3">
        <v>1</v>
      </c>
      <c r="D231">
        <v>82</v>
      </c>
      <c r="E231">
        <v>1711</v>
      </c>
      <c r="F231">
        <v>40</v>
      </c>
      <c r="G231" s="4">
        <f t="shared" si="12"/>
        <v>0.95454545454545459</v>
      </c>
      <c r="H231" s="3">
        <f t="shared" si="13"/>
        <v>0.82</v>
      </c>
      <c r="I231" s="4">
        <f t="shared" si="14"/>
        <v>0.97662185856224426</v>
      </c>
      <c r="J231" s="4">
        <f t="shared" si="15"/>
        <v>0.76442856383826574</v>
      </c>
    </row>
    <row r="232" spans="1:10" x14ac:dyDescent="0.3">
      <c r="A232" s="2">
        <v>45516</v>
      </c>
      <c r="B232" s="3">
        <v>1</v>
      </c>
      <c r="C232" s="3">
        <v>1</v>
      </c>
      <c r="D232">
        <v>100</v>
      </c>
      <c r="E232">
        <v>1829</v>
      </c>
      <c r="F232">
        <v>24</v>
      </c>
      <c r="G232" s="4">
        <f t="shared" si="12"/>
        <v>0.95652173913043481</v>
      </c>
      <c r="H232" s="3">
        <f t="shared" si="13"/>
        <v>1</v>
      </c>
      <c r="I232" s="4">
        <f t="shared" si="14"/>
        <v>0.98687807545106621</v>
      </c>
      <c r="J232" s="4">
        <f t="shared" si="15"/>
        <v>0.94397033304015032</v>
      </c>
    </row>
    <row r="233" spans="1:10" x14ac:dyDescent="0.3">
      <c r="A233" s="2">
        <v>45517</v>
      </c>
      <c r="B233" s="3">
        <v>2</v>
      </c>
      <c r="C233" s="3">
        <v>2</v>
      </c>
      <c r="D233">
        <v>88</v>
      </c>
      <c r="E233">
        <v>2089</v>
      </c>
      <c r="F233">
        <v>35</v>
      </c>
      <c r="G233" s="4">
        <f t="shared" si="12"/>
        <v>0.90909090909090906</v>
      </c>
      <c r="H233" s="3">
        <f t="shared" si="13"/>
        <v>0.88</v>
      </c>
      <c r="I233" s="4">
        <f t="shared" si="14"/>
        <v>0.98324557204404017</v>
      </c>
      <c r="J233" s="4">
        <f t="shared" si="15"/>
        <v>0.78659645763523212</v>
      </c>
    </row>
    <row r="234" spans="1:10" x14ac:dyDescent="0.3">
      <c r="A234" s="2">
        <v>45518</v>
      </c>
      <c r="B234" s="3">
        <v>2</v>
      </c>
      <c r="C234" s="3">
        <v>1</v>
      </c>
      <c r="D234">
        <v>83</v>
      </c>
      <c r="E234">
        <v>2150</v>
      </c>
      <c r="F234">
        <v>52</v>
      </c>
      <c r="G234" s="4">
        <f t="shared" si="12"/>
        <v>0.95454545454545459</v>
      </c>
      <c r="H234" s="3">
        <f t="shared" si="13"/>
        <v>0.83</v>
      </c>
      <c r="I234" s="4">
        <f t="shared" si="14"/>
        <v>0.97581395348837208</v>
      </c>
      <c r="J234" s="4">
        <f t="shared" si="15"/>
        <v>0.7731107822410147</v>
      </c>
    </row>
    <row r="235" spans="1:10" x14ac:dyDescent="0.3">
      <c r="A235" s="2">
        <v>45519</v>
      </c>
      <c r="B235" s="3">
        <v>3</v>
      </c>
      <c r="C235" s="3">
        <v>2</v>
      </c>
      <c r="D235">
        <v>100</v>
      </c>
      <c r="E235">
        <v>2219</v>
      </c>
      <c r="F235">
        <v>20</v>
      </c>
      <c r="G235" s="4">
        <f t="shared" si="12"/>
        <v>0.90476190476190477</v>
      </c>
      <c r="H235" s="3">
        <f t="shared" si="13"/>
        <v>1</v>
      </c>
      <c r="I235" s="4">
        <f t="shared" si="14"/>
        <v>0.99098693105002256</v>
      </c>
      <c r="J235" s="4">
        <f t="shared" si="15"/>
        <v>0.89660722333097276</v>
      </c>
    </row>
    <row r="236" spans="1:10" x14ac:dyDescent="0.3">
      <c r="A236" s="2">
        <v>45520</v>
      </c>
      <c r="B236" s="3">
        <v>1</v>
      </c>
      <c r="C236" s="3">
        <v>1</v>
      </c>
      <c r="D236">
        <v>80</v>
      </c>
      <c r="E236">
        <v>2045</v>
      </c>
      <c r="F236">
        <v>23</v>
      </c>
      <c r="G236" s="4">
        <f t="shared" si="12"/>
        <v>0.95652173913043481</v>
      </c>
      <c r="H236" s="3">
        <f t="shared" si="13"/>
        <v>0.8</v>
      </c>
      <c r="I236" s="4">
        <f t="shared" si="14"/>
        <v>0.98875305623471887</v>
      </c>
      <c r="J236" s="4">
        <f t="shared" si="15"/>
        <v>0.75661103433613275</v>
      </c>
    </row>
    <row r="237" spans="1:10" x14ac:dyDescent="0.3">
      <c r="A237" s="2">
        <v>45521</v>
      </c>
      <c r="B237" s="3">
        <v>2</v>
      </c>
      <c r="C237" s="3">
        <v>1</v>
      </c>
      <c r="D237">
        <v>81</v>
      </c>
      <c r="E237">
        <v>2072</v>
      </c>
      <c r="F237">
        <v>42</v>
      </c>
      <c r="G237" s="4">
        <f t="shared" si="12"/>
        <v>0.95454545454545459</v>
      </c>
      <c r="H237" s="3">
        <f t="shared" si="13"/>
        <v>0.81</v>
      </c>
      <c r="I237" s="4">
        <f t="shared" si="14"/>
        <v>0.97972972972972971</v>
      </c>
      <c r="J237" s="4">
        <f t="shared" si="15"/>
        <v>0.75750921375921387</v>
      </c>
    </row>
    <row r="238" spans="1:10" x14ac:dyDescent="0.3">
      <c r="A238" s="2">
        <v>45522</v>
      </c>
      <c r="B238" s="3">
        <v>3</v>
      </c>
      <c r="C238" s="3">
        <v>1</v>
      </c>
      <c r="D238">
        <v>99</v>
      </c>
      <c r="E238">
        <v>1715</v>
      </c>
      <c r="F238">
        <v>55</v>
      </c>
      <c r="G238" s="4">
        <f t="shared" si="12"/>
        <v>0.95238095238095233</v>
      </c>
      <c r="H238" s="3">
        <f t="shared" si="13"/>
        <v>0.99</v>
      </c>
      <c r="I238" s="4">
        <f t="shared" si="14"/>
        <v>0.96793002915451898</v>
      </c>
      <c r="J238" s="4">
        <f t="shared" si="15"/>
        <v>0.91261974177426075</v>
      </c>
    </row>
    <row r="239" spans="1:10" x14ac:dyDescent="0.3">
      <c r="A239" s="2">
        <v>45523</v>
      </c>
      <c r="B239" s="3">
        <v>2</v>
      </c>
      <c r="C239" s="3">
        <v>1</v>
      </c>
      <c r="D239">
        <v>92</v>
      </c>
      <c r="E239">
        <v>2044</v>
      </c>
      <c r="F239">
        <v>22</v>
      </c>
      <c r="G239" s="4">
        <f t="shared" si="12"/>
        <v>0.95454545454545459</v>
      </c>
      <c r="H239" s="3">
        <f t="shared" si="13"/>
        <v>0.92</v>
      </c>
      <c r="I239" s="4">
        <f t="shared" si="14"/>
        <v>0.98923679060665359</v>
      </c>
      <c r="J239" s="4">
        <f t="shared" si="15"/>
        <v>0.86872976338729768</v>
      </c>
    </row>
    <row r="240" spans="1:10" x14ac:dyDescent="0.3">
      <c r="A240" s="2">
        <v>45524</v>
      </c>
      <c r="B240" s="3">
        <v>3</v>
      </c>
      <c r="C240" s="3">
        <v>3</v>
      </c>
      <c r="D240">
        <v>91</v>
      </c>
      <c r="E240">
        <v>1775</v>
      </c>
      <c r="F240">
        <v>54</v>
      </c>
      <c r="G240" s="4">
        <f t="shared" si="12"/>
        <v>0.8571428571428571</v>
      </c>
      <c r="H240" s="3">
        <f t="shared" si="13"/>
        <v>0.91</v>
      </c>
      <c r="I240" s="4">
        <f t="shared" si="14"/>
        <v>0.96957746478873241</v>
      </c>
      <c r="J240" s="4">
        <f t="shared" si="15"/>
        <v>0.75627042253521126</v>
      </c>
    </row>
    <row r="241" spans="1:10" x14ac:dyDescent="0.3">
      <c r="A241" s="2">
        <v>45525</v>
      </c>
      <c r="B241" s="3">
        <v>1</v>
      </c>
      <c r="C241" s="3">
        <v>3</v>
      </c>
      <c r="D241">
        <v>84</v>
      </c>
      <c r="E241">
        <v>2120</v>
      </c>
      <c r="F241">
        <v>49</v>
      </c>
      <c r="G241" s="4">
        <f t="shared" si="12"/>
        <v>0.86956521739130432</v>
      </c>
      <c r="H241" s="3">
        <f t="shared" si="13"/>
        <v>0.84</v>
      </c>
      <c r="I241" s="4">
        <f t="shared" si="14"/>
        <v>0.97688679245283017</v>
      </c>
      <c r="J241" s="4">
        <f t="shared" si="15"/>
        <v>0.71355209187858903</v>
      </c>
    </row>
    <row r="242" spans="1:10" x14ac:dyDescent="0.3">
      <c r="A242" s="2">
        <v>45526</v>
      </c>
      <c r="B242" s="3">
        <v>3</v>
      </c>
      <c r="C242" s="3">
        <v>3</v>
      </c>
      <c r="D242">
        <v>92</v>
      </c>
      <c r="E242">
        <v>2112</v>
      </c>
      <c r="F242">
        <v>24</v>
      </c>
      <c r="G242" s="4">
        <f t="shared" si="12"/>
        <v>0.8571428571428571</v>
      </c>
      <c r="H242" s="3">
        <f t="shared" si="13"/>
        <v>0.92</v>
      </c>
      <c r="I242" s="4">
        <f t="shared" si="14"/>
        <v>0.98863636363636365</v>
      </c>
      <c r="J242" s="4">
        <f t="shared" si="15"/>
        <v>0.77961038961038964</v>
      </c>
    </row>
    <row r="243" spans="1:10" x14ac:dyDescent="0.3">
      <c r="A243" s="2">
        <v>45527</v>
      </c>
      <c r="B243" s="3">
        <v>3</v>
      </c>
      <c r="C243" s="3">
        <v>1</v>
      </c>
      <c r="D243">
        <v>82</v>
      </c>
      <c r="E243">
        <v>1749</v>
      </c>
      <c r="F243">
        <v>49</v>
      </c>
      <c r="G243" s="4">
        <f t="shared" si="12"/>
        <v>0.95238095238095233</v>
      </c>
      <c r="H243" s="3">
        <f t="shared" si="13"/>
        <v>0.82</v>
      </c>
      <c r="I243" s="4">
        <f t="shared" si="14"/>
        <v>0.97198399085191534</v>
      </c>
      <c r="J243" s="4">
        <f t="shared" si="15"/>
        <v>0.75907321190340049</v>
      </c>
    </row>
    <row r="244" spans="1:10" x14ac:dyDescent="0.3">
      <c r="A244" s="2">
        <v>45528</v>
      </c>
      <c r="B244" s="3">
        <v>2</v>
      </c>
      <c r="C244" s="3">
        <v>1</v>
      </c>
      <c r="D244">
        <v>86</v>
      </c>
      <c r="E244">
        <v>1734</v>
      </c>
      <c r="F244">
        <v>25</v>
      </c>
      <c r="G244" s="4">
        <f t="shared" si="12"/>
        <v>0.95454545454545459</v>
      </c>
      <c r="H244" s="3">
        <f t="shared" si="13"/>
        <v>0.86</v>
      </c>
      <c r="I244" s="4">
        <f t="shared" si="14"/>
        <v>0.98558246828143026</v>
      </c>
      <c r="J244" s="4">
        <f t="shared" si="15"/>
        <v>0.80907360805284689</v>
      </c>
    </row>
    <row r="245" spans="1:10" x14ac:dyDescent="0.3">
      <c r="A245" s="2">
        <v>45529</v>
      </c>
      <c r="B245" s="3">
        <v>2</v>
      </c>
      <c r="C245" s="3">
        <v>2</v>
      </c>
      <c r="D245">
        <v>98</v>
      </c>
      <c r="E245">
        <v>1937</v>
      </c>
      <c r="F245">
        <v>22</v>
      </c>
      <c r="G245" s="4">
        <f t="shared" si="12"/>
        <v>0.90909090909090906</v>
      </c>
      <c r="H245" s="3">
        <f t="shared" si="13"/>
        <v>0.98</v>
      </c>
      <c r="I245" s="4">
        <f t="shared" si="14"/>
        <v>0.98864223025296849</v>
      </c>
      <c r="J245" s="4">
        <f t="shared" si="15"/>
        <v>0.88079035058900823</v>
      </c>
    </row>
    <row r="246" spans="1:10" x14ac:dyDescent="0.3">
      <c r="A246" s="2">
        <v>45530</v>
      </c>
      <c r="B246" s="3">
        <v>3</v>
      </c>
      <c r="C246" s="3">
        <v>1</v>
      </c>
      <c r="D246">
        <v>96</v>
      </c>
      <c r="E246">
        <v>2264</v>
      </c>
      <c r="F246">
        <v>39</v>
      </c>
      <c r="G246" s="4">
        <f t="shared" si="12"/>
        <v>0.95238095238095233</v>
      </c>
      <c r="H246" s="3">
        <f t="shared" si="13"/>
        <v>0.96</v>
      </c>
      <c r="I246" s="4">
        <f t="shared" si="14"/>
        <v>0.982773851590106</v>
      </c>
      <c r="J246" s="4">
        <f t="shared" si="15"/>
        <v>0.89853609288238245</v>
      </c>
    </row>
    <row r="247" spans="1:10" x14ac:dyDescent="0.3">
      <c r="A247" s="2">
        <v>45531</v>
      </c>
      <c r="B247" s="3">
        <v>1</v>
      </c>
      <c r="C247" s="3">
        <v>2</v>
      </c>
      <c r="D247">
        <v>82</v>
      </c>
      <c r="E247">
        <v>1993</v>
      </c>
      <c r="F247">
        <v>46</v>
      </c>
      <c r="G247" s="4">
        <f t="shared" si="12"/>
        <v>0.91304347826086951</v>
      </c>
      <c r="H247" s="3">
        <f t="shared" si="13"/>
        <v>0.82</v>
      </c>
      <c r="I247" s="4">
        <f t="shared" si="14"/>
        <v>0.97691921726041142</v>
      </c>
      <c r="J247" s="4">
        <f t="shared" si="15"/>
        <v>0.7314151704880123</v>
      </c>
    </row>
    <row r="248" spans="1:10" x14ac:dyDescent="0.3">
      <c r="A248" s="2">
        <v>45532</v>
      </c>
      <c r="B248" s="3">
        <v>3</v>
      </c>
      <c r="C248" s="3">
        <v>1</v>
      </c>
      <c r="D248">
        <v>89</v>
      </c>
      <c r="E248">
        <v>2009</v>
      </c>
      <c r="F248">
        <v>23</v>
      </c>
      <c r="G248" s="4">
        <f t="shared" si="12"/>
        <v>0.95238095238095233</v>
      </c>
      <c r="H248" s="3">
        <f t="shared" si="13"/>
        <v>0.89</v>
      </c>
      <c r="I248" s="4">
        <f t="shared" si="14"/>
        <v>0.98855151816824294</v>
      </c>
      <c r="J248" s="4">
        <f t="shared" si="15"/>
        <v>0.83791509635212968</v>
      </c>
    </row>
    <row r="249" spans="1:10" x14ac:dyDescent="0.3">
      <c r="A249" s="2">
        <v>45533</v>
      </c>
      <c r="B249" s="3">
        <v>1</v>
      </c>
      <c r="C249" s="3">
        <v>3</v>
      </c>
      <c r="D249">
        <v>80</v>
      </c>
      <c r="E249">
        <v>1928</v>
      </c>
      <c r="F249">
        <v>24</v>
      </c>
      <c r="G249" s="4">
        <f t="shared" si="12"/>
        <v>0.86956521739130432</v>
      </c>
      <c r="H249" s="3">
        <f t="shared" si="13"/>
        <v>0.8</v>
      </c>
      <c r="I249" s="4">
        <f t="shared" si="14"/>
        <v>0.98755186721991706</v>
      </c>
      <c r="J249" s="4">
        <f t="shared" si="15"/>
        <v>0.68699260328342049</v>
      </c>
    </row>
    <row r="250" spans="1:10" x14ac:dyDescent="0.3">
      <c r="A250" s="2">
        <v>45534</v>
      </c>
      <c r="B250" s="3">
        <v>3</v>
      </c>
      <c r="C250" s="3">
        <v>1</v>
      </c>
      <c r="D250">
        <v>90</v>
      </c>
      <c r="E250">
        <v>2182</v>
      </c>
      <c r="F250">
        <v>58</v>
      </c>
      <c r="G250" s="4">
        <f t="shared" si="12"/>
        <v>0.95238095238095233</v>
      </c>
      <c r="H250" s="3">
        <f t="shared" si="13"/>
        <v>0.9</v>
      </c>
      <c r="I250" s="4">
        <f t="shared" si="14"/>
        <v>0.97341888175985336</v>
      </c>
      <c r="J250" s="4">
        <f t="shared" si="15"/>
        <v>0.83435904150844564</v>
      </c>
    </row>
    <row r="251" spans="1:10" x14ac:dyDescent="0.3">
      <c r="A251" s="2">
        <v>45535</v>
      </c>
      <c r="B251" s="3">
        <v>3</v>
      </c>
      <c r="C251" s="3">
        <v>1</v>
      </c>
      <c r="D251">
        <v>84</v>
      </c>
      <c r="E251">
        <v>2284</v>
      </c>
      <c r="F251">
        <v>51</v>
      </c>
      <c r="G251" s="4">
        <f t="shared" si="12"/>
        <v>0.95238095238095233</v>
      </c>
      <c r="H251" s="3">
        <f t="shared" si="13"/>
        <v>0.84</v>
      </c>
      <c r="I251" s="4">
        <f t="shared" si="14"/>
        <v>0.97767075306479856</v>
      </c>
      <c r="J251" s="4">
        <f t="shared" si="15"/>
        <v>0.7821366024518388</v>
      </c>
    </row>
    <row r="252" spans="1:10" x14ac:dyDescent="0.3">
      <c r="A252" s="2">
        <v>45536</v>
      </c>
      <c r="B252" s="3">
        <v>2</v>
      </c>
      <c r="C252" s="3">
        <v>2</v>
      </c>
      <c r="D252">
        <v>92</v>
      </c>
      <c r="E252">
        <v>1742</v>
      </c>
      <c r="F252">
        <v>39</v>
      </c>
      <c r="G252" s="4">
        <f t="shared" si="12"/>
        <v>0.90909090909090906</v>
      </c>
      <c r="H252" s="3">
        <f t="shared" si="13"/>
        <v>0.92</v>
      </c>
      <c r="I252" s="4">
        <f t="shared" si="14"/>
        <v>0.97761194029850751</v>
      </c>
      <c r="J252" s="4">
        <f t="shared" si="15"/>
        <v>0.81763907734056995</v>
      </c>
    </row>
    <row r="253" spans="1:10" x14ac:dyDescent="0.3">
      <c r="A253" s="2">
        <v>45537</v>
      </c>
      <c r="B253" s="3">
        <v>1</v>
      </c>
      <c r="C253" s="3">
        <v>3</v>
      </c>
      <c r="D253">
        <v>80</v>
      </c>
      <c r="E253">
        <v>1889</v>
      </c>
      <c r="F253">
        <v>55</v>
      </c>
      <c r="G253" s="4">
        <f t="shared" si="12"/>
        <v>0.86956521739130432</v>
      </c>
      <c r="H253" s="3">
        <f t="shared" si="13"/>
        <v>0.8</v>
      </c>
      <c r="I253" s="4">
        <f t="shared" si="14"/>
        <v>0.97088406564319751</v>
      </c>
      <c r="J253" s="4">
        <f t="shared" si="15"/>
        <v>0.67539761088222439</v>
      </c>
    </row>
    <row r="254" spans="1:10" x14ac:dyDescent="0.3">
      <c r="A254" s="2">
        <v>45538</v>
      </c>
      <c r="B254" s="3">
        <v>3</v>
      </c>
      <c r="C254" s="3">
        <v>2</v>
      </c>
      <c r="D254">
        <v>93</v>
      </c>
      <c r="E254">
        <v>2120</v>
      </c>
      <c r="F254">
        <v>36</v>
      </c>
      <c r="G254" s="4">
        <f t="shared" si="12"/>
        <v>0.90476190476190477</v>
      </c>
      <c r="H254" s="3">
        <f t="shared" si="13"/>
        <v>0.93</v>
      </c>
      <c r="I254" s="4">
        <f t="shared" si="14"/>
        <v>0.98301886792452831</v>
      </c>
      <c r="J254" s="4">
        <f t="shared" si="15"/>
        <v>0.82714016172506744</v>
      </c>
    </row>
    <row r="255" spans="1:10" x14ac:dyDescent="0.3">
      <c r="A255" s="2">
        <v>45539</v>
      </c>
      <c r="B255" s="3">
        <v>3</v>
      </c>
      <c r="C255" s="3">
        <v>2</v>
      </c>
      <c r="D255">
        <v>85</v>
      </c>
      <c r="E255">
        <v>1750</v>
      </c>
      <c r="F255">
        <v>52</v>
      </c>
      <c r="G255" s="4">
        <f t="shared" si="12"/>
        <v>0.90476190476190477</v>
      </c>
      <c r="H255" s="3">
        <f t="shared" si="13"/>
        <v>0.85</v>
      </c>
      <c r="I255" s="4">
        <f t="shared" si="14"/>
        <v>0.97028571428571431</v>
      </c>
      <c r="J255" s="4">
        <f t="shared" si="15"/>
        <v>0.74619591836734689</v>
      </c>
    </row>
    <row r="256" spans="1:10" x14ac:dyDescent="0.3">
      <c r="A256" s="2">
        <v>45540</v>
      </c>
      <c r="B256" s="3">
        <v>2</v>
      </c>
      <c r="C256" s="3">
        <v>3</v>
      </c>
      <c r="D256">
        <v>90</v>
      </c>
      <c r="E256">
        <v>2294</v>
      </c>
      <c r="F256">
        <v>22</v>
      </c>
      <c r="G256" s="4">
        <f t="shared" si="12"/>
        <v>0.86363636363636365</v>
      </c>
      <c r="H256" s="3">
        <f t="shared" si="13"/>
        <v>0.9</v>
      </c>
      <c r="I256" s="4">
        <f t="shared" si="14"/>
        <v>0.99040976460331298</v>
      </c>
      <c r="J256" s="4">
        <f t="shared" si="15"/>
        <v>0.76981849885075693</v>
      </c>
    </row>
    <row r="257" spans="1:10" x14ac:dyDescent="0.3">
      <c r="A257" s="2">
        <v>45541</v>
      </c>
      <c r="B257" s="3">
        <v>2</v>
      </c>
      <c r="C257" s="3">
        <v>2</v>
      </c>
      <c r="D257">
        <v>86</v>
      </c>
      <c r="E257">
        <v>1904</v>
      </c>
      <c r="F257">
        <v>27</v>
      </c>
      <c r="G257" s="4">
        <f t="shared" si="12"/>
        <v>0.90909090909090906</v>
      </c>
      <c r="H257" s="3">
        <f t="shared" si="13"/>
        <v>0.86</v>
      </c>
      <c r="I257" s="4">
        <f t="shared" si="14"/>
        <v>0.98581932773109249</v>
      </c>
      <c r="J257" s="4">
        <f t="shared" si="15"/>
        <v>0.77073147440794498</v>
      </c>
    </row>
    <row r="258" spans="1:10" x14ac:dyDescent="0.3">
      <c r="A258" s="2">
        <v>45542</v>
      </c>
      <c r="B258" s="3">
        <v>2</v>
      </c>
      <c r="C258" s="3">
        <v>3</v>
      </c>
      <c r="D258">
        <v>84</v>
      </c>
      <c r="E258">
        <v>1811</v>
      </c>
      <c r="F258">
        <v>31</v>
      </c>
      <c r="G258" s="4">
        <f t="shared" si="12"/>
        <v>0.86363636363636365</v>
      </c>
      <c r="H258" s="3">
        <f t="shared" si="13"/>
        <v>0.84</v>
      </c>
      <c r="I258" s="4">
        <f t="shared" si="14"/>
        <v>0.98288238542241857</v>
      </c>
      <c r="J258" s="4">
        <f t="shared" si="15"/>
        <v>0.71303649415190007</v>
      </c>
    </row>
    <row r="259" spans="1:10" x14ac:dyDescent="0.3">
      <c r="A259" s="2">
        <v>45543</v>
      </c>
      <c r="B259" s="3">
        <v>3</v>
      </c>
      <c r="C259" s="3">
        <v>3</v>
      </c>
      <c r="D259">
        <v>93</v>
      </c>
      <c r="E259">
        <v>1809</v>
      </c>
      <c r="F259">
        <v>60</v>
      </c>
      <c r="G259" s="4">
        <f t="shared" si="12"/>
        <v>0.8571428571428571</v>
      </c>
      <c r="H259" s="3">
        <f t="shared" si="13"/>
        <v>0.93</v>
      </c>
      <c r="I259" s="4">
        <f t="shared" si="14"/>
        <v>0.96683250414593702</v>
      </c>
      <c r="J259" s="4">
        <f t="shared" si="15"/>
        <v>0.77070362473347553</v>
      </c>
    </row>
    <row r="260" spans="1:10" x14ac:dyDescent="0.3">
      <c r="A260" s="2">
        <v>45544</v>
      </c>
      <c r="B260" s="3">
        <v>2</v>
      </c>
      <c r="C260" s="3">
        <v>3</v>
      </c>
      <c r="D260">
        <v>99</v>
      </c>
      <c r="E260">
        <v>1813</v>
      </c>
      <c r="F260">
        <v>42</v>
      </c>
      <c r="G260" s="4">
        <f t="shared" si="12"/>
        <v>0.86363636363636365</v>
      </c>
      <c r="H260" s="3">
        <f t="shared" si="13"/>
        <v>0.99</v>
      </c>
      <c r="I260" s="4">
        <f t="shared" si="14"/>
        <v>0.97683397683397688</v>
      </c>
      <c r="J260" s="4">
        <f t="shared" si="15"/>
        <v>0.83519305019305023</v>
      </c>
    </row>
    <row r="261" spans="1:10" x14ac:dyDescent="0.3">
      <c r="A261" s="2">
        <v>45545</v>
      </c>
      <c r="B261" s="3">
        <v>3</v>
      </c>
      <c r="C261" s="3">
        <v>3</v>
      </c>
      <c r="D261">
        <v>84</v>
      </c>
      <c r="E261">
        <v>1847</v>
      </c>
      <c r="F261">
        <v>23</v>
      </c>
      <c r="G261" s="4">
        <f t="shared" si="12"/>
        <v>0.8571428571428571</v>
      </c>
      <c r="H261" s="3">
        <f t="shared" si="13"/>
        <v>0.84</v>
      </c>
      <c r="I261" s="4">
        <f t="shared" si="14"/>
        <v>0.98754737412019489</v>
      </c>
      <c r="J261" s="4">
        <f t="shared" si="15"/>
        <v>0.71103410936654032</v>
      </c>
    </row>
    <row r="262" spans="1:10" x14ac:dyDescent="0.3">
      <c r="A262" s="2">
        <v>45546</v>
      </c>
      <c r="B262" s="3">
        <v>2</v>
      </c>
      <c r="C262" s="3">
        <v>1</v>
      </c>
      <c r="D262">
        <v>89</v>
      </c>
      <c r="E262">
        <v>1733</v>
      </c>
      <c r="F262">
        <v>31</v>
      </c>
      <c r="G262" s="4">
        <f t="shared" si="12"/>
        <v>0.95454545454545459</v>
      </c>
      <c r="H262" s="3">
        <f t="shared" si="13"/>
        <v>0.89</v>
      </c>
      <c r="I262" s="4">
        <f t="shared" si="14"/>
        <v>0.98211194460473172</v>
      </c>
      <c r="J262" s="4">
        <f t="shared" si="15"/>
        <v>0.83434873839374712</v>
      </c>
    </row>
    <row r="263" spans="1:10" x14ac:dyDescent="0.3">
      <c r="A263" s="2">
        <v>45547</v>
      </c>
      <c r="B263" s="3">
        <v>1</v>
      </c>
      <c r="C263" s="3">
        <v>1</v>
      </c>
      <c r="D263">
        <v>84</v>
      </c>
      <c r="E263">
        <v>2061</v>
      </c>
      <c r="F263">
        <v>28</v>
      </c>
      <c r="G263" s="4">
        <f t="shared" si="12"/>
        <v>0.95652173913043481</v>
      </c>
      <c r="H263" s="3">
        <f t="shared" si="13"/>
        <v>0.84</v>
      </c>
      <c r="I263" s="4">
        <f t="shared" si="14"/>
        <v>0.98641436196021348</v>
      </c>
      <c r="J263" s="4">
        <f t="shared" si="15"/>
        <v>0.79256249604455409</v>
      </c>
    </row>
    <row r="264" spans="1:10" x14ac:dyDescent="0.3">
      <c r="A264" s="2">
        <v>45548</v>
      </c>
      <c r="B264" s="3">
        <v>3</v>
      </c>
      <c r="C264" s="3">
        <v>3</v>
      </c>
      <c r="D264">
        <v>100</v>
      </c>
      <c r="E264">
        <v>1704</v>
      </c>
      <c r="F264">
        <v>22</v>
      </c>
      <c r="G264" s="4">
        <f t="shared" ref="G264:G327" si="16">($G$3-B264-C264)/($G$3-B264)</f>
        <v>0.8571428571428571</v>
      </c>
      <c r="H264" s="3">
        <f t="shared" si="13"/>
        <v>1</v>
      </c>
      <c r="I264" s="4">
        <f t="shared" si="14"/>
        <v>0.98708920187793425</v>
      </c>
      <c r="J264" s="4">
        <f t="shared" si="15"/>
        <v>0.84607645875251503</v>
      </c>
    </row>
    <row r="265" spans="1:10" x14ac:dyDescent="0.3">
      <c r="A265" s="2">
        <v>45549</v>
      </c>
      <c r="B265" s="3">
        <v>1</v>
      </c>
      <c r="C265" s="3">
        <v>3</v>
      </c>
      <c r="D265">
        <v>100</v>
      </c>
      <c r="E265">
        <v>1953</v>
      </c>
      <c r="F265">
        <v>24</v>
      </c>
      <c r="G265" s="4">
        <f t="shared" si="16"/>
        <v>0.86956521739130432</v>
      </c>
      <c r="H265" s="3">
        <f t="shared" ref="H265:H328" si="17">D265/$G$4</f>
        <v>1</v>
      </c>
      <c r="I265" s="4">
        <f t="shared" ref="I265:I328" si="18">(E265-F265)/E265</f>
        <v>0.98771121351766511</v>
      </c>
      <c r="J265" s="4">
        <f t="shared" ref="J265:J328" si="19">G265*H265*I265</f>
        <v>0.85887931610231749</v>
      </c>
    </row>
    <row r="266" spans="1:10" x14ac:dyDescent="0.3">
      <c r="A266" s="2">
        <v>45550</v>
      </c>
      <c r="B266" s="3">
        <v>1</v>
      </c>
      <c r="C266" s="3">
        <v>2</v>
      </c>
      <c r="D266">
        <v>93</v>
      </c>
      <c r="E266">
        <v>2051</v>
      </c>
      <c r="F266">
        <v>37</v>
      </c>
      <c r="G266" s="4">
        <f t="shared" si="16"/>
        <v>0.91304347826086951</v>
      </c>
      <c r="H266" s="3">
        <f t="shared" si="17"/>
        <v>0.93</v>
      </c>
      <c r="I266" s="4">
        <f t="shared" si="18"/>
        <v>0.98196001950268164</v>
      </c>
      <c r="J266" s="4">
        <f t="shared" si="19"/>
        <v>0.833812138299451</v>
      </c>
    </row>
    <row r="267" spans="1:10" x14ac:dyDescent="0.3">
      <c r="A267" s="2">
        <v>45551</v>
      </c>
      <c r="B267" s="3">
        <v>1</v>
      </c>
      <c r="C267" s="3">
        <v>3</v>
      </c>
      <c r="D267">
        <v>95</v>
      </c>
      <c r="E267">
        <v>2060</v>
      </c>
      <c r="F267">
        <v>28</v>
      </c>
      <c r="G267" s="4">
        <f t="shared" si="16"/>
        <v>0.86956521739130432</v>
      </c>
      <c r="H267" s="3">
        <f t="shared" si="17"/>
        <v>0.95</v>
      </c>
      <c r="I267" s="4">
        <f t="shared" si="18"/>
        <v>0.98640776699029131</v>
      </c>
      <c r="J267" s="4">
        <f t="shared" si="19"/>
        <v>0.81485859012241446</v>
      </c>
    </row>
    <row r="268" spans="1:10" x14ac:dyDescent="0.3">
      <c r="A268" s="2">
        <v>45552</v>
      </c>
      <c r="B268" s="3">
        <v>3</v>
      </c>
      <c r="C268" s="3">
        <v>2</v>
      </c>
      <c r="D268">
        <v>89</v>
      </c>
      <c r="E268">
        <v>2231</v>
      </c>
      <c r="F268">
        <v>43</v>
      </c>
      <c r="G268" s="4">
        <f t="shared" si="16"/>
        <v>0.90476190476190477</v>
      </c>
      <c r="H268" s="3">
        <f t="shared" si="17"/>
        <v>0.89</v>
      </c>
      <c r="I268" s="4">
        <f t="shared" si="18"/>
        <v>0.9807261317794711</v>
      </c>
      <c r="J268" s="4">
        <f t="shared" si="19"/>
        <v>0.78971804230432652</v>
      </c>
    </row>
    <row r="269" spans="1:10" x14ac:dyDescent="0.3">
      <c r="A269" s="2">
        <v>45553</v>
      </c>
      <c r="B269" s="3">
        <v>3</v>
      </c>
      <c r="C269" s="3">
        <v>2</v>
      </c>
      <c r="D269">
        <v>96</v>
      </c>
      <c r="E269">
        <v>2116</v>
      </c>
      <c r="F269">
        <v>40</v>
      </c>
      <c r="G269" s="4">
        <f t="shared" si="16"/>
        <v>0.90476190476190477</v>
      </c>
      <c r="H269" s="3">
        <f t="shared" si="17"/>
        <v>0.96</v>
      </c>
      <c r="I269" s="4">
        <f t="shared" si="18"/>
        <v>0.98109640831758038</v>
      </c>
      <c r="J269" s="4">
        <f t="shared" si="19"/>
        <v>0.85215230893869842</v>
      </c>
    </row>
    <row r="270" spans="1:10" x14ac:dyDescent="0.3">
      <c r="A270" s="2">
        <v>45554</v>
      </c>
      <c r="B270" s="3">
        <v>3</v>
      </c>
      <c r="C270" s="3">
        <v>2</v>
      </c>
      <c r="D270">
        <v>85</v>
      </c>
      <c r="E270">
        <v>2278</v>
      </c>
      <c r="F270">
        <v>33</v>
      </c>
      <c r="G270" s="4">
        <f t="shared" si="16"/>
        <v>0.90476190476190477</v>
      </c>
      <c r="H270" s="3">
        <f t="shared" si="17"/>
        <v>0.85</v>
      </c>
      <c r="I270" s="4">
        <f t="shared" si="18"/>
        <v>0.98551360842844604</v>
      </c>
      <c r="J270" s="4">
        <f t="shared" si="19"/>
        <v>0.75790689410092393</v>
      </c>
    </row>
    <row r="271" spans="1:10" x14ac:dyDescent="0.3">
      <c r="A271" s="2">
        <v>45555</v>
      </c>
      <c r="B271" s="3">
        <v>1</v>
      </c>
      <c r="C271" s="3">
        <v>2</v>
      </c>
      <c r="D271">
        <v>87</v>
      </c>
      <c r="E271">
        <v>2231</v>
      </c>
      <c r="F271">
        <v>24</v>
      </c>
      <c r="G271" s="4">
        <f t="shared" si="16"/>
        <v>0.91304347826086951</v>
      </c>
      <c r="H271" s="3">
        <f t="shared" si="17"/>
        <v>0.87</v>
      </c>
      <c r="I271" s="4">
        <f t="shared" si="18"/>
        <v>0.98924249215598381</v>
      </c>
      <c r="J271" s="4">
        <f t="shared" si="19"/>
        <v>0.78580262311694882</v>
      </c>
    </row>
    <row r="272" spans="1:10" x14ac:dyDescent="0.3">
      <c r="A272" s="2">
        <v>45556</v>
      </c>
      <c r="B272" s="3">
        <v>2</v>
      </c>
      <c r="C272" s="3">
        <v>1</v>
      </c>
      <c r="D272">
        <v>97</v>
      </c>
      <c r="E272">
        <v>1958</v>
      </c>
      <c r="F272">
        <v>32</v>
      </c>
      <c r="G272" s="4">
        <f t="shared" si="16"/>
        <v>0.95454545454545459</v>
      </c>
      <c r="H272" s="3">
        <f t="shared" si="17"/>
        <v>0.97</v>
      </c>
      <c r="I272" s="4">
        <f t="shared" si="18"/>
        <v>0.98365679264555672</v>
      </c>
      <c r="J272" s="4">
        <f t="shared" si="19"/>
        <v>0.91077676664499951</v>
      </c>
    </row>
    <row r="273" spans="1:10" x14ac:dyDescent="0.3">
      <c r="A273" s="2">
        <v>45557</v>
      </c>
      <c r="B273" s="3">
        <v>1</v>
      </c>
      <c r="C273" s="3">
        <v>3</v>
      </c>
      <c r="D273">
        <v>86</v>
      </c>
      <c r="E273">
        <v>1926</v>
      </c>
      <c r="F273">
        <v>51</v>
      </c>
      <c r="G273" s="4">
        <f t="shared" si="16"/>
        <v>0.86956521739130432</v>
      </c>
      <c r="H273" s="3">
        <f t="shared" si="17"/>
        <v>0.86</v>
      </c>
      <c r="I273" s="4">
        <f t="shared" si="18"/>
        <v>0.97352024922118385</v>
      </c>
      <c r="J273" s="4">
        <f t="shared" si="19"/>
        <v>0.72802383854801578</v>
      </c>
    </row>
    <row r="274" spans="1:10" x14ac:dyDescent="0.3">
      <c r="A274" s="2">
        <v>45558</v>
      </c>
      <c r="B274" s="3">
        <v>3</v>
      </c>
      <c r="C274" s="3">
        <v>1</v>
      </c>
      <c r="D274">
        <v>85</v>
      </c>
      <c r="E274">
        <v>2238</v>
      </c>
      <c r="F274">
        <v>44</v>
      </c>
      <c r="G274" s="4">
        <f t="shared" si="16"/>
        <v>0.95238095238095233</v>
      </c>
      <c r="H274" s="3">
        <f t="shared" si="17"/>
        <v>0.85</v>
      </c>
      <c r="I274" s="4">
        <f t="shared" si="18"/>
        <v>0.98033958891867734</v>
      </c>
      <c r="J274" s="4">
        <f t="shared" si="19"/>
        <v>0.79360823864845298</v>
      </c>
    </row>
    <row r="275" spans="1:10" x14ac:dyDescent="0.3">
      <c r="A275" s="2">
        <v>45559</v>
      </c>
      <c r="B275" s="3">
        <v>2</v>
      </c>
      <c r="C275" s="3">
        <v>3</v>
      </c>
      <c r="D275">
        <v>84</v>
      </c>
      <c r="E275">
        <v>2164</v>
      </c>
      <c r="F275">
        <v>60</v>
      </c>
      <c r="G275" s="4">
        <f t="shared" si="16"/>
        <v>0.86363636363636365</v>
      </c>
      <c r="H275" s="3">
        <f t="shared" si="17"/>
        <v>0.84</v>
      </c>
      <c r="I275" s="4">
        <f t="shared" si="18"/>
        <v>0.97227356746765248</v>
      </c>
      <c r="J275" s="4">
        <f t="shared" si="19"/>
        <v>0.70534027894471518</v>
      </c>
    </row>
    <row r="276" spans="1:10" x14ac:dyDescent="0.3">
      <c r="A276" s="2">
        <v>45560</v>
      </c>
      <c r="B276" s="3">
        <v>3</v>
      </c>
      <c r="C276" s="3">
        <v>2</v>
      </c>
      <c r="D276">
        <v>83</v>
      </c>
      <c r="E276">
        <v>1781</v>
      </c>
      <c r="F276">
        <v>38</v>
      </c>
      <c r="G276" s="4">
        <f t="shared" si="16"/>
        <v>0.90476190476190477</v>
      </c>
      <c r="H276" s="3">
        <f t="shared" si="17"/>
        <v>0.83</v>
      </c>
      <c r="I276" s="4">
        <f t="shared" si="18"/>
        <v>0.97866367209432903</v>
      </c>
      <c r="J276" s="4">
        <f t="shared" si="19"/>
        <v>0.73492981471083663</v>
      </c>
    </row>
    <row r="277" spans="1:10" x14ac:dyDescent="0.3">
      <c r="A277" s="2">
        <v>45561</v>
      </c>
      <c r="B277" s="3">
        <v>2</v>
      </c>
      <c r="C277" s="3">
        <v>1</v>
      </c>
      <c r="D277">
        <v>87</v>
      </c>
      <c r="E277">
        <v>2134</v>
      </c>
      <c r="F277">
        <v>35</v>
      </c>
      <c r="G277" s="4">
        <f t="shared" si="16"/>
        <v>0.95454545454545459</v>
      </c>
      <c r="H277" s="3">
        <f t="shared" si="17"/>
        <v>0.87</v>
      </c>
      <c r="I277" s="4">
        <f t="shared" si="18"/>
        <v>0.98359887535145263</v>
      </c>
      <c r="J277" s="4">
        <f t="shared" si="19"/>
        <v>0.81683415693959271</v>
      </c>
    </row>
    <row r="278" spans="1:10" x14ac:dyDescent="0.3">
      <c r="A278" s="2">
        <v>45562</v>
      </c>
      <c r="B278" s="3">
        <v>3</v>
      </c>
      <c r="C278" s="3">
        <v>2</v>
      </c>
      <c r="D278">
        <v>86</v>
      </c>
      <c r="E278">
        <v>1757</v>
      </c>
      <c r="F278">
        <v>22</v>
      </c>
      <c r="G278" s="4">
        <f t="shared" si="16"/>
        <v>0.90476190476190477</v>
      </c>
      <c r="H278" s="3">
        <f t="shared" si="17"/>
        <v>0.86</v>
      </c>
      <c r="I278" s="4">
        <f t="shared" si="18"/>
        <v>0.98747865680136593</v>
      </c>
      <c r="J278" s="4">
        <f t="shared" si="19"/>
        <v>0.7683524405778247</v>
      </c>
    </row>
    <row r="279" spans="1:10" x14ac:dyDescent="0.3">
      <c r="A279" s="2">
        <v>45563</v>
      </c>
      <c r="B279" s="3">
        <v>1</v>
      </c>
      <c r="C279" s="3">
        <v>1</v>
      </c>
      <c r="D279">
        <v>93</v>
      </c>
      <c r="E279">
        <v>2278</v>
      </c>
      <c r="F279">
        <v>23</v>
      </c>
      <c r="G279" s="4">
        <f t="shared" si="16"/>
        <v>0.95652173913043481</v>
      </c>
      <c r="H279" s="3">
        <f t="shared" si="17"/>
        <v>0.93</v>
      </c>
      <c r="I279" s="4">
        <f t="shared" si="18"/>
        <v>0.98990342405618958</v>
      </c>
      <c r="J279" s="4">
        <f t="shared" si="19"/>
        <v>0.88058365461694088</v>
      </c>
    </row>
    <row r="280" spans="1:10" x14ac:dyDescent="0.3">
      <c r="A280" s="2">
        <v>45564</v>
      </c>
      <c r="B280" s="3">
        <v>2</v>
      </c>
      <c r="C280" s="3">
        <v>3</v>
      </c>
      <c r="D280">
        <v>97</v>
      </c>
      <c r="E280">
        <v>1971</v>
      </c>
      <c r="F280">
        <v>30</v>
      </c>
      <c r="G280" s="4">
        <f t="shared" si="16"/>
        <v>0.86363636363636365</v>
      </c>
      <c r="H280" s="3">
        <f t="shared" si="17"/>
        <v>0.97</v>
      </c>
      <c r="I280" s="4">
        <f t="shared" si="18"/>
        <v>0.984779299847793</v>
      </c>
      <c r="J280" s="4">
        <f t="shared" si="19"/>
        <v>0.82497647709976485</v>
      </c>
    </row>
    <row r="281" spans="1:10" x14ac:dyDescent="0.3">
      <c r="A281" s="2">
        <v>45565</v>
      </c>
      <c r="B281" s="3">
        <v>3</v>
      </c>
      <c r="C281" s="3">
        <v>1</v>
      </c>
      <c r="D281">
        <v>96</v>
      </c>
      <c r="E281">
        <v>2276</v>
      </c>
      <c r="F281">
        <v>60</v>
      </c>
      <c r="G281" s="4">
        <f t="shared" si="16"/>
        <v>0.95238095238095233</v>
      </c>
      <c r="H281" s="3">
        <f t="shared" si="17"/>
        <v>0.96</v>
      </c>
      <c r="I281" s="4">
        <f t="shared" si="18"/>
        <v>0.97363796133567659</v>
      </c>
      <c r="J281" s="4">
        <f t="shared" si="19"/>
        <v>0.89018327893547555</v>
      </c>
    </row>
    <row r="282" spans="1:10" x14ac:dyDescent="0.3">
      <c r="A282" s="2">
        <v>45566</v>
      </c>
      <c r="B282" s="3">
        <v>3</v>
      </c>
      <c r="C282" s="3">
        <v>2</v>
      </c>
      <c r="D282">
        <v>81</v>
      </c>
      <c r="E282">
        <v>1881</v>
      </c>
      <c r="F282">
        <v>24</v>
      </c>
      <c r="G282" s="4">
        <f t="shared" si="16"/>
        <v>0.90476190476190477</v>
      </c>
      <c r="H282" s="3">
        <f t="shared" si="17"/>
        <v>0.81</v>
      </c>
      <c r="I282" s="4">
        <f t="shared" si="18"/>
        <v>0.98724082934609247</v>
      </c>
      <c r="J282" s="4">
        <f t="shared" si="19"/>
        <v>0.72350649350649354</v>
      </c>
    </row>
    <row r="283" spans="1:10" x14ac:dyDescent="0.3">
      <c r="A283" s="2">
        <v>45567</v>
      </c>
      <c r="B283" s="3">
        <v>1</v>
      </c>
      <c r="C283" s="3">
        <v>1</v>
      </c>
      <c r="D283">
        <v>99</v>
      </c>
      <c r="E283">
        <v>1743</v>
      </c>
      <c r="F283">
        <v>56</v>
      </c>
      <c r="G283" s="4">
        <f t="shared" si="16"/>
        <v>0.95652173913043481</v>
      </c>
      <c r="H283" s="3">
        <f t="shared" si="17"/>
        <v>0.99</v>
      </c>
      <c r="I283" s="4">
        <f t="shared" si="18"/>
        <v>0.96787148594377514</v>
      </c>
      <c r="J283" s="4">
        <f t="shared" si="19"/>
        <v>0.91653221581980104</v>
      </c>
    </row>
    <row r="284" spans="1:10" x14ac:dyDescent="0.3">
      <c r="A284" s="2">
        <v>45568</v>
      </c>
      <c r="B284" s="3">
        <v>2</v>
      </c>
      <c r="C284" s="3">
        <v>1</v>
      </c>
      <c r="D284">
        <v>91</v>
      </c>
      <c r="E284">
        <v>1867</v>
      </c>
      <c r="F284">
        <v>44</v>
      </c>
      <c r="G284" s="4">
        <f t="shared" si="16"/>
        <v>0.95454545454545459</v>
      </c>
      <c r="H284" s="3">
        <f t="shared" si="17"/>
        <v>0.91</v>
      </c>
      <c r="I284" s="4">
        <f t="shared" si="18"/>
        <v>0.97643277986073918</v>
      </c>
      <c r="J284" s="4">
        <f t="shared" si="19"/>
        <v>0.84816501923357845</v>
      </c>
    </row>
    <row r="285" spans="1:10" x14ac:dyDescent="0.3">
      <c r="A285" s="2">
        <v>45569</v>
      </c>
      <c r="B285" s="3">
        <v>1</v>
      </c>
      <c r="C285" s="3">
        <v>3</v>
      </c>
      <c r="D285">
        <v>83</v>
      </c>
      <c r="E285">
        <v>2100</v>
      </c>
      <c r="F285">
        <v>40</v>
      </c>
      <c r="G285" s="4">
        <f t="shared" si="16"/>
        <v>0.86956521739130432</v>
      </c>
      <c r="H285" s="3">
        <f t="shared" si="17"/>
        <v>0.83</v>
      </c>
      <c r="I285" s="4">
        <f t="shared" si="18"/>
        <v>0.98095238095238091</v>
      </c>
      <c r="J285" s="4">
        <f t="shared" si="19"/>
        <v>0.70799171842650099</v>
      </c>
    </row>
    <row r="286" spans="1:10" x14ac:dyDescent="0.3">
      <c r="A286" s="2">
        <v>45570</v>
      </c>
      <c r="B286" s="3">
        <v>1</v>
      </c>
      <c r="C286" s="3">
        <v>2</v>
      </c>
      <c r="D286">
        <v>83</v>
      </c>
      <c r="E286">
        <v>1717</v>
      </c>
      <c r="F286">
        <v>54</v>
      </c>
      <c r="G286" s="4">
        <f t="shared" si="16"/>
        <v>0.91304347826086951</v>
      </c>
      <c r="H286" s="3">
        <f t="shared" si="17"/>
        <v>0.83</v>
      </c>
      <c r="I286" s="4">
        <f t="shared" si="18"/>
        <v>0.96854979615608616</v>
      </c>
      <c r="J286" s="4">
        <f t="shared" si="19"/>
        <v>0.73399230204350352</v>
      </c>
    </row>
    <row r="287" spans="1:10" x14ac:dyDescent="0.3">
      <c r="A287" s="2">
        <v>45571</v>
      </c>
      <c r="B287" s="3">
        <v>2</v>
      </c>
      <c r="C287" s="3">
        <v>3</v>
      </c>
      <c r="D287">
        <v>81</v>
      </c>
      <c r="E287">
        <v>2120</v>
      </c>
      <c r="F287">
        <v>24</v>
      </c>
      <c r="G287" s="4">
        <f t="shared" si="16"/>
        <v>0.86363636363636365</v>
      </c>
      <c r="H287" s="3">
        <f t="shared" si="17"/>
        <v>0.81</v>
      </c>
      <c r="I287" s="4">
        <f t="shared" si="18"/>
        <v>0.98867924528301887</v>
      </c>
      <c r="J287" s="4">
        <f t="shared" si="19"/>
        <v>0.69162607204116644</v>
      </c>
    </row>
    <row r="288" spans="1:10" x14ac:dyDescent="0.3">
      <c r="A288" s="2">
        <v>45572</v>
      </c>
      <c r="B288" s="3">
        <v>2</v>
      </c>
      <c r="C288" s="3">
        <v>2</v>
      </c>
      <c r="D288">
        <v>90</v>
      </c>
      <c r="E288">
        <v>1986</v>
      </c>
      <c r="F288">
        <v>32</v>
      </c>
      <c r="G288" s="4">
        <f t="shared" si="16"/>
        <v>0.90909090909090906</v>
      </c>
      <c r="H288" s="3">
        <f t="shared" si="17"/>
        <v>0.9</v>
      </c>
      <c r="I288" s="4">
        <f t="shared" si="18"/>
        <v>0.98388721047331318</v>
      </c>
      <c r="J288" s="4">
        <f t="shared" si="19"/>
        <v>0.80499862675089251</v>
      </c>
    </row>
    <row r="289" spans="1:10" x14ac:dyDescent="0.3">
      <c r="A289" s="2">
        <v>45573</v>
      </c>
      <c r="B289" s="3">
        <v>2</v>
      </c>
      <c r="C289" s="3">
        <v>3</v>
      </c>
      <c r="D289">
        <v>95</v>
      </c>
      <c r="E289">
        <v>1778</v>
      </c>
      <c r="F289">
        <v>34</v>
      </c>
      <c r="G289" s="4">
        <f t="shared" si="16"/>
        <v>0.86363636363636365</v>
      </c>
      <c r="H289" s="3">
        <f t="shared" si="17"/>
        <v>0.95</v>
      </c>
      <c r="I289" s="4">
        <f t="shared" si="18"/>
        <v>0.98087739032620924</v>
      </c>
      <c r="J289" s="4">
        <f t="shared" si="19"/>
        <v>0.80476531342673074</v>
      </c>
    </row>
    <row r="290" spans="1:10" x14ac:dyDescent="0.3">
      <c r="A290" s="2">
        <v>45574</v>
      </c>
      <c r="B290" s="3">
        <v>2</v>
      </c>
      <c r="C290" s="3">
        <v>3</v>
      </c>
      <c r="D290">
        <v>93</v>
      </c>
      <c r="E290">
        <v>1826</v>
      </c>
      <c r="F290">
        <v>56</v>
      </c>
      <c r="G290" s="4">
        <f t="shared" si="16"/>
        <v>0.86363636363636365</v>
      </c>
      <c r="H290" s="3">
        <f t="shared" si="17"/>
        <v>0.93</v>
      </c>
      <c r="I290" s="4">
        <f t="shared" si="18"/>
        <v>0.96933187294633083</v>
      </c>
      <c r="J290" s="4">
        <f t="shared" si="19"/>
        <v>0.7785497361346212</v>
      </c>
    </row>
    <row r="291" spans="1:10" x14ac:dyDescent="0.3">
      <c r="A291" s="2">
        <v>45575</v>
      </c>
      <c r="B291" s="3">
        <v>2</v>
      </c>
      <c r="C291" s="3">
        <v>3</v>
      </c>
      <c r="D291">
        <v>88</v>
      </c>
      <c r="E291">
        <v>1860</v>
      </c>
      <c r="F291">
        <v>60</v>
      </c>
      <c r="G291" s="4">
        <f t="shared" si="16"/>
        <v>0.86363636363636365</v>
      </c>
      <c r="H291" s="3">
        <f t="shared" si="17"/>
        <v>0.88</v>
      </c>
      <c r="I291" s="4">
        <f t="shared" si="18"/>
        <v>0.967741935483871</v>
      </c>
      <c r="J291" s="4">
        <f t="shared" si="19"/>
        <v>0.73548387096774193</v>
      </c>
    </row>
    <row r="292" spans="1:10" x14ac:dyDescent="0.3">
      <c r="A292" s="2">
        <v>45576</v>
      </c>
      <c r="B292" s="3">
        <v>3</v>
      </c>
      <c r="C292" s="3">
        <v>2</v>
      </c>
      <c r="D292">
        <v>100</v>
      </c>
      <c r="E292">
        <v>1766</v>
      </c>
      <c r="F292">
        <v>21</v>
      </c>
      <c r="G292" s="4">
        <f t="shared" si="16"/>
        <v>0.90476190476190477</v>
      </c>
      <c r="H292" s="3">
        <f t="shared" si="17"/>
        <v>1</v>
      </c>
      <c r="I292" s="4">
        <f t="shared" si="18"/>
        <v>0.98810872027180063</v>
      </c>
      <c r="J292" s="4">
        <f t="shared" si="19"/>
        <v>0.8940031278649625</v>
      </c>
    </row>
    <row r="293" spans="1:10" x14ac:dyDescent="0.3">
      <c r="A293" s="2">
        <v>45577</v>
      </c>
      <c r="B293" s="3">
        <v>3</v>
      </c>
      <c r="C293" s="3">
        <v>1</v>
      </c>
      <c r="D293">
        <v>86</v>
      </c>
      <c r="E293">
        <v>2188</v>
      </c>
      <c r="F293">
        <v>43</v>
      </c>
      <c r="G293" s="4">
        <f t="shared" si="16"/>
        <v>0.95238095238095233</v>
      </c>
      <c r="H293" s="3">
        <f t="shared" si="17"/>
        <v>0.86</v>
      </c>
      <c r="I293" s="4">
        <f t="shared" si="18"/>
        <v>0.98034734917733091</v>
      </c>
      <c r="J293" s="4">
        <f t="shared" si="19"/>
        <v>0.80295116218333762</v>
      </c>
    </row>
    <row r="294" spans="1:10" x14ac:dyDescent="0.3">
      <c r="A294" s="2">
        <v>45578</v>
      </c>
      <c r="B294" s="3">
        <v>1</v>
      </c>
      <c r="C294" s="3">
        <v>1</v>
      </c>
      <c r="D294">
        <v>91</v>
      </c>
      <c r="E294">
        <v>2125</v>
      </c>
      <c r="F294">
        <v>58</v>
      </c>
      <c r="G294" s="4">
        <f t="shared" si="16"/>
        <v>0.95652173913043481</v>
      </c>
      <c r="H294" s="3">
        <f t="shared" si="17"/>
        <v>0.91</v>
      </c>
      <c r="I294" s="4">
        <f t="shared" si="18"/>
        <v>0.9727058823529412</v>
      </c>
      <c r="J294" s="4">
        <f t="shared" si="19"/>
        <v>0.84667703324808186</v>
      </c>
    </row>
    <row r="295" spans="1:10" x14ac:dyDescent="0.3">
      <c r="A295" s="2">
        <v>45579</v>
      </c>
      <c r="B295" s="3">
        <v>3</v>
      </c>
      <c r="C295" s="3">
        <v>1</v>
      </c>
      <c r="D295">
        <v>81</v>
      </c>
      <c r="E295">
        <v>1999</v>
      </c>
      <c r="F295">
        <v>22</v>
      </c>
      <c r="G295" s="4">
        <f t="shared" si="16"/>
        <v>0.95238095238095233</v>
      </c>
      <c r="H295" s="3">
        <f t="shared" si="17"/>
        <v>0.81</v>
      </c>
      <c r="I295" s="4">
        <f t="shared" si="18"/>
        <v>0.98899449724862432</v>
      </c>
      <c r="J295" s="4">
        <f t="shared" si="19"/>
        <v>0.76293861216322456</v>
      </c>
    </row>
    <row r="296" spans="1:10" x14ac:dyDescent="0.3">
      <c r="A296" s="2">
        <v>45580</v>
      </c>
      <c r="B296" s="3">
        <v>1</v>
      </c>
      <c r="C296" s="3">
        <v>2</v>
      </c>
      <c r="D296">
        <v>96</v>
      </c>
      <c r="E296">
        <v>1779</v>
      </c>
      <c r="F296">
        <v>35</v>
      </c>
      <c r="G296" s="4">
        <f t="shared" si="16"/>
        <v>0.91304347826086951</v>
      </c>
      <c r="H296" s="3">
        <f t="shared" si="17"/>
        <v>0.96</v>
      </c>
      <c r="I296" s="4">
        <f t="shared" si="18"/>
        <v>0.98032602585722317</v>
      </c>
      <c r="J296" s="4">
        <f t="shared" si="19"/>
        <v>0.85927707309920076</v>
      </c>
    </row>
    <row r="297" spans="1:10" x14ac:dyDescent="0.3">
      <c r="A297" s="2">
        <v>45581</v>
      </c>
      <c r="B297" s="3">
        <v>2</v>
      </c>
      <c r="C297" s="3">
        <v>3</v>
      </c>
      <c r="D297">
        <v>90</v>
      </c>
      <c r="E297">
        <v>2219</v>
      </c>
      <c r="F297">
        <v>49</v>
      </c>
      <c r="G297" s="4">
        <f t="shared" si="16"/>
        <v>0.86363636363636365</v>
      </c>
      <c r="H297" s="3">
        <f t="shared" si="17"/>
        <v>0.9</v>
      </c>
      <c r="I297" s="4">
        <f t="shared" si="18"/>
        <v>0.97791798107255523</v>
      </c>
      <c r="J297" s="4">
        <f t="shared" si="19"/>
        <v>0.76010897619730433</v>
      </c>
    </row>
    <row r="298" spans="1:10" x14ac:dyDescent="0.3">
      <c r="A298" s="2">
        <v>45582</v>
      </c>
      <c r="B298" s="3">
        <v>2</v>
      </c>
      <c r="C298" s="3">
        <v>2</v>
      </c>
      <c r="D298">
        <v>85</v>
      </c>
      <c r="E298">
        <v>2241</v>
      </c>
      <c r="F298">
        <v>40</v>
      </c>
      <c r="G298" s="4">
        <f t="shared" si="16"/>
        <v>0.90909090909090906</v>
      </c>
      <c r="H298" s="3">
        <f t="shared" si="17"/>
        <v>0.85</v>
      </c>
      <c r="I298" s="4">
        <f t="shared" si="18"/>
        <v>0.98215082552431954</v>
      </c>
      <c r="J298" s="4">
        <f t="shared" si="19"/>
        <v>0.75893472881424695</v>
      </c>
    </row>
    <row r="299" spans="1:10" x14ac:dyDescent="0.3">
      <c r="A299" s="2">
        <v>45583</v>
      </c>
      <c r="B299" s="3">
        <v>1</v>
      </c>
      <c r="C299" s="3">
        <v>3</v>
      </c>
      <c r="D299">
        <v>94</v>
      </c>
      <c r="E299">
        <v>2248</v>
      </c>
      <c r="F299">
        <v>27</v>
      </c>
      <c r="G299" s="4">
        <f t="shared" si="16"/>
        <v>0.86956521739130432</v>
      </c>
      <c r="H299" s="3">
        <f t="shared" si="17"/>
        <v>0.94</v>
      </c>
      <c r="I299" s="4">
        <f t="shared" si="18"/>
        <v>0.98798932384341642</v>
      </c>
      <c r="J299" s="4">
        <f t="shared" si="19"/>
        <v>0.80757388209809688</v>
      </c>
    </row>
    <row r="300" spans="1:10" x14ac:dyDescent="0.3">
      <c r="A300" s="2">
        <v>45584</v>
      </c>
      <c r="B300" s="3">
        <v>3</v>
      </c>
      <c r="C300" s="3">
        <v>1</v>
      </c>
      <c r="D300">
        <v>93</v>
      </c>
      <c r="E300">
        <v>1908</v>
      </c>
      <c r="F300">
        <v>48</v>
      </c>
      <c r="G300" s="4">
        <f t="shared" si="16"/>
        <v>0.95238095238095233</v>
      </c>
      <c r="H300" s="3">
        <f t="shared" si="17"/>
        <v>0.93</v>
      </c>
      <c r="I300" s="4">
        <f t="shared" si="18"/>
        <v>0.97484276729559749</v>
      </c>
      <c r="J300" s="4">
        <f t="shared" si="19"/>
        <v>0.86343216531895772</v>
      </c>
    </row>
    <row r="301" spans="1:10" x14ac:dyDescent="0.3">
      <c r="A301" s="2">
        <v>45585</v>
      </c>
      <c r="B301" s="3">
        <v>2</v>
      </c>
      <c r="C301" s="3">
        <v>2</v>
      </c>
      <c r="D301">
        <v>81</v>
      </c>
      <c r="E301">
        <v>1758</v>
      </c>
      <c r="F301">
        <v>45</v>
      </c>
      <c r="G301" s="4">
        <f t="shared" si="16"/>
        <v>0.90909090909090906</v>
      </c>
      <c r="H301" s="3">
        <f t="shared" si="17"/>
        <v>0.81</v>
      </c>
      <c r="I301" s="4">
        <f t="shared" si="18"/>
        <v>0.97440273037542657</v>
      </c>
      <c r="J301" s="4">
        <f t="shared" si="19"/>
        <v>0.71751473782190511</v>
      </c>
    </row>
    <row r="302" spans="1:10" x14ac:dyDescent="0.3">
      <c r="A302" s="2">
        <v>45586</v>
      </c>
      <c r="B302" s="3">
        <v>3</v>
      </c>
      <c r="C302" s="3">
        <v>2</v>
      </c>
      <c r="D302">
        <v>90</v>
      </c>
      <c r="E302">
        <v>2252</v>
      </c>
      <c r="F302">
        <v>41</v>
      </c>
      <c r="G302" s="4">
        <f t="shared" si="16"/>
        <v>0.90476190476190477</v>
      </c>
      <c r="H302" s="3">
        <f t="shared" si="17"/>
        <v>0.9</v>
      </c>
      <c r="I302" s="4">
        <f t="shared" si="18"/>
        <v>0.98179396092362348</v>
      </c>
      <c r="J302" s="4">
        <f t="shared" si="19"/>
        <v>0.79946079675209336</v>
      </c>
    </row>
    <row r="303" spans="1:10" x14ac:dyDescent="0.3">
      <c r="A303" s="2">
        <v>45587</v>
      </c>
      <c r="B303" s="3">
        <v>1</v>
      </c>
      <c r="C303" s="3">
        <v>3</v>
      </c>
      <c r="D303">
        <v>97</v>
      </c>
      <c r="E303">
        <v>1795</v>
      </c>
      <c r="F303">
        <v>60</v>
      </c>
      <c r="G303" s="4">
        <f t="shared" si="16"/>
        <v>0.86956521739130432</v>
      </c>
      <c r="H303" s="3">
        <f t="shared" si="17"/>
        <v>0.97</v>
      </c>
      <c r="I303" s="4">
        <f t="shared" si="18"/>
        <v>0.96657381615598881</v>
      </c>
      <c r="J303" s="4">
        <f t="shared" si="19"/>
        <v>0.81528400145331226</v>
      </c>
    </row>
    <row r="304" spans="1:10" x14ac:dyDescent="0.3">
      <c r="A304" s="2">
        <v>45588</v>
      </c>
      <c r="B304" s="3">
        <v>3</v>
      </c>
      <c r="C304" s="3">
        <v>1</v>
      </c>
      <c r="D304">
        <v>97</v>
      </c>
      <c r="E304">
        <v>2223</v>
      </c>
      <c r="F304">
        <v>24</v>
      </c>
      <c r="G304" s="4">
        <f t="shared" si="16"/>
        <v>0.95238095238095233</v>
      </c>
      <c r="H304" s="3">
        <f t="shared" si="17"/>
        <v>0.97</v>
      </c>
      <c r="I304" s="4">
        <f t="shared" si="18"/>
        <v>0.9892037786774629</v>
      </c>
      <c r="J304" s="4">
        <f t="shared" si="19"/>
        <v>0.91383587173060854</v>
      </c>
    </row>
    <row r="305" spans="1:10" x14ac:dyDescent="0.3">
      <c r="A305" s="2">
        <v>45589</v>
      </c>
      <c r="B305" s="3">
        <v>3</v>
      </c>
      <c r="C305" s="3">
        <v>2</v>
      </c>
      <c r="D305">
        <v>85</v>
      </c>
      <c r="E305">
        <v>1841</v>
      </c>
      <c r="F305">
        <v>21</v>
      </c>
      <c r="G305" s="4">
        <f t="shared" si="16"/>
        <v>0.90476190476190477</v>
      </c>
      <c r="H305" s="3">
        <f t="shared" si="17"/>
        <v>0.85</v>
      </c>
      <c r="I305" s="4">
        <f t="shared" si="18"/>
        <v>0.98859315589353614</v>
      </c>
      <c r="J305" s="4">
        <f t="shared" si="19"/>
        <v>0.76027521274669563</v>
      </c>
    </row>
    <row r="306" spans="1:10" x14ac:dyDescent="0.3">
      <c r="A306" s="2">
        <v>45590</v>
      </c>
      <c r="B306" s="3">
        <v>3</v>
      </c>
      <c r="C306" s="3">
        <v>2</v>
      </c>
      <c r="D306">
        <v>86</v>
      </c>
      <c r="E306">
        <v>2099</v>
      </c>
      <c r="F306">
        <v>26</v>
      </c>
      <c r="G306" s="4">
        <f t="shared" si="16"/>
        <v>0.90476190476190477</v>
      </c>
      <c r="H306" s="3">
        <f t="shared" si="17"/>
        <v>0.86</v>
      </c>
      <c r="I306" s="4">
        <f t="shared" si="18"/>
        <v>0.98761314911862796</v>
      </c>
      <c r="J306" s="4">
        <f t="shared" si="19"/>
        <v>0.76845708840944671</v>
      </c>
    </row>
    <row r="307" spans="1:10" x14ac:dyDescent="0.3">
      <c r="A307" s="2">
        <v>45591</v>
      </c>
      <c r="B307" s="3">
        <v>2</v>
      </c>
      <c r="C307" s="3">
        <v>3</v>
      </c>
      <c r="D307">
        <v>83</v>
      </c>
      <c r="E307">
        <v>1914</v>
      </c>
      <c r="F307">
        <v>56</v>
      </c>
      <c r="G307" s="4">
        <f t="shared" si="16"/>
        <v>0.86363636363636365</v>
      </c>
      <c r="H307" s="3">
        <f t="shared" si="17"/>
        <v>0.83</v>
      </c>
      <c r="I307" s="4">
        <f t="shared" si="18"/>
        <v>0.97074190177638453</v>
      </c>
      <c r="J307" s="4">
        <f t="shared" si="19"/>
        <v>0.69584544504607193</v>
      </c>
    </row>
    <row r="308" spans="1:10" x14ac:dyDescent="0.3">
      <c r="A308" s="2">
        <v>45592</v>
      </c>
      <c r="B308" s="3">
        <v>2</v>
      </c>
      <c r="C308" s="3">
        <v>1</v>
      </c>
      <c r="D308">
        <v>97</v>
      </c>
      <c r="E308">
        <v>2206</v>
      </c>
      <c r="F308">
        <v>58</v>
      </c>
      <c r="G308" s="4">
        <f t="shared" si="16"/>
        <v>0.95454545454545459</v>
      </c>
      <c r="H308" s="3">
        <f t="shared" si="17"/>
        <v>0.97</v>
      </c>
      <c r="I308" s="4">
        <f t="shared" si="18"/>
        <v>0.97370806890299189</v>
      </c>
      <c r="J308" s="4">
        <f t="shared" si="19"/>
        <v>0.90156515288881567</v>
      </c>
    </row>
    <row r="309" spans="1:10" x14ac:dyDescent="0.3">
      <c r="A309" s="2">
        <v>45593</v>
      </c>
      <c r="B309" s="3">
        <v>1</v>
      </c>
      <c r="C309" s="3">
        <v>3</v>
      </c>
      <c r="D309">
        <v>99</v>
      </c>
      <c r="E309">
        <v>2040</v>
      </c>
      <c r="F309">
        <v>51</v>
      </c>
      <c r="G309" s="4">
        <f t="shared" si="16"/>
        <v>0.86956521739130432</v>
      </c>
      <c r="H309" s="3">
        <f t="shared" si="17"/>
        <v>0.99</v>
      </c>
      <c r="I309" s="4">
        <f t="shared" si="18"/>
        <v>0.97499999999999998</v>
      </c>
      <c r="J309" s="4">
        <f t="shared" si="19"/>
        <v>0.83934782608695646</v>
      </c>
    </row>
    <row r="310" spans="1:10" x14ac:dyDescent="0.3">
      <c r="A310" s="2">
        <v>45594</v>
      </c>
      <c r="B310" s="3">
        <v>3</v>
      </c>
      <c r="C310" s="3">
        <v>3</v>
      </c>
      <c r="D310">
        <v>100</v>
      </c>
      <c r="E310">
        <v>2021</v>
      </c>
      <c r="F310">
        <v>25</v>
      </c>
      <c r="G310" s="4">
        <f t="shared" si="16"/>
        <v>0.8571428571428571</v>
      </c>
      <c r="H310" s="3">
        <f t="shared" si="17"/>
        <v>1</v>
      </c>
      <c r="I310" s="4">
        <f t="shared" si="18"/>
        <v>0.98762988619495296</v>
      </c>
      <c r="J310" s="4">
        <f t="shared" si="19"/>
        <v>0.84653990245281674</v>
      </c>
    </row>
    <row r="311" spans="1:10" x14ac:dyDescent="0.3">
      <c r="A311" s="2">
        <v>45595</v>
      </c>
      <c r="B311" s="3">
        <v>2</v>
      </c>
      <c r="C311" s="3">
        <v>3</v>
      </c>
      <c r="D311">
        <v>97</v>
      </c>
      <c r="E311">
        <v>1738</v>
      </c>
      <c r="F311">
        <v>22</v>
      </c>
      <c r="G311" s="4">
        <f t="shared" si="16"/>
        <v>0.86363636363636365</v>
      </c>
      <c r="H311" s="3">
        <f t="shared" si="17"/>
        <v>0.97</v>
      </c>
      <c r="I311" s="4">
        <f t="shared" si="18"/>
        <v>0.98734177215189878</v>
      </c>
      <c r="J311" s="4">
        <f t="shared" si="19"/>
        <v>0.82712313003452254</v>
      </c>
    </row>
    <row r="312" spans="1:10" x14ac:dyDescent="0.3">
      <c r="A312" s="2">
        <v>45596</v>
      </c>
      <c r="B312" s="3">
        <v>3</v>
      </c>
      <c r="C312" s="3">
        <v>1</v>
      </c>
      <c r="D312">
        <v>92</v>
      </c>
      <c r="E312">
        <v>1733</v>
      </c>
      <c r="F312">
        <v>23</v>
      </c>
      <c r="G312" s="4">
        <f t="shared" si="16"/>
        <v>0.95238095238095233</v>
      </c>
      <c r="H312" s="3">
        <f t="shared" si="17"/>
        <v>0.92</v>
      </c>
      <c r="I312" s="4">
        <f t="shared" si="18"/>
        <v>0.98672821696480095</v>
      </c>
      <c r="J312" s="4">
        <f t="shared" si="19"/>
        <v>0.86456186629296849</v>
      </c>
    </row>
    <row r="313" spans="1:10" x14ac:dyDescent="0.3">
      <c r="A313" s="2">
        <v>45597</v>
      </c>
      <c r="B313" s="3">
        <v>3</v>
      </c>
      <c r="C313" s="3">
        <v>1</v>
      </c>
      <c r="D313">
        <v>89</v>
      </c>
      <c r="E313">
        <v>2085</v>
      </c>
      <c r="F313">
        <v>47</v>
      </c>
      <c r="G313" s="4">
        <f t="shared" si="16"/>
        <v>0.95238095238095233</v>
      </c>
      <c r="H313" s="3">
        <f t="shared" si="17"/>
        <v>0.89</v>
      </c>
      <c r="I313" s="4">
        <f t="shared" si="18"/>
        <v>0.97745803357314154</v>
      </c>
      <c r="J313" s="4">
        <f t="shared" si="19"/>
        <v>0.8285120475048533</v>
      </c>
    </row>
    <row r="314" spans="1:10" x14ac:dyDescent="0.3">
      <c r="A314" s="2">
        <v>45598</v>
      </c>
      <c r="B314" s="3">
        <v>2</v>
      </c>
      <c r="C314" s="3">
        <v>2</v>
      </c>
      <c r="D314">
        <v>97</v>
      </c>
      <c r="E314">
        <v>2095</v>
      </c>
      <c r="F314">
        <v>55</v>
      </c>
      <c r="G314" s="4">
        <f t="shared" si="16"/>
        <v>0.90909090909090906</v>
      </c>
      <c r="H314" s="3">
        <f t="shared" si="17"/>
        <v>0.97</v>
      </c>
      <c r="I314" s="4">
        <f t="shared" si="18"/>
        <v>0.97374701670644392</v>
      </c>
      <c r="J314" s="4">
        <f t="shared" si="19"/>
        <v>0.85866782382295503</v>
      </c>
    </row>
    <row r="315" spans="1:10" x14ac:dyDescent="0.3">
      <c r="A315" s="2">
        <v>45599</v>
      </c>
      <c r="B315" s="3">
        <v>3</v>
      </c>
      <c r="C315" s="3">
        <v>3</v>
      </c>
      <c r="D315">
        <v>86</v>
      </c>
      <c r="E315">
        <v>1856</v>
      </c>
      <c r="F315">
        <v>48</v>
      </c>
      <c r="G315" s="4">
        <f t="shared" si="16"/>
        <v>0.8571428571428571</v>
      </c>
      <c r="H315" s="3">
        <f t="shared" si="17"/>
        <v>0.86</v>
      </c>
      <c r="I315" s="4">
        <f t="shared" si="18"/>
        <v>0.97413793103448276</v>
      </c>
      <c r="J315" s="4">
        <f t="shared" si="19"/>
        <v>0.71807881773399007</v>
      </c>
    </row>
    <row r="316" spans="1:10" x14ac:dyDescent="0.3">
      <c r="A316" s="2">
        <v>45600</v>
      </c>
      <c r="B316" s="3">
        <v>3</v>
      </c>
      <c r="C316" s="3">
        <v>1</v>
      </c>
      <c r="D316">
        <v>98</v>
      </c>
      <c r="E316">
        <v>2137</v>
      </c>
      <c r="F316">
        <v>29</v>
      </c>
      <c r="G316" s="4">
        <f t="shared" si="16"/>
        <v>0.95238095238095233</v>
      </c>
      <c r="H316" s="3">
        <f t="shared" si="17"/>
        <v>0.98</v>
      </c>
      <c r="I316" s="4">
        <f t="shared" si="18"/>
        <v>0.98642957416939636</v>
      </c>
      <c r="J316" s="4">
        <f t="shared" si="19"/>
        <v>0.9206676025581032</v>
      </c>
    </row>
    <row r="317" spans="1:10" x14ac:dyDescent="0.3">
      <c r="A317" s="2">
        <v>45601</v>
      </c>
      <c r="B317" s="3">
        <v>1</v>
      </c>
      <c r="C317" s="3">
        <v>2</v>
      </c>
      <c r="D317">
        <v>100</v>
      </c>
      <c r="E317">
        <v>1946</v>
      </c>
      <c r="F317">
        <v>52</v>
      </c>
      <c r="G317" s="4">
        <f t="shared" si="16"/>
        <v>0.91304347826086951</v>
      </c>
      <c r="H317" s="3">
        <f t="shared" si="17"/>
        <v>1</v>
      </c>
      <c r="I317" s="4">
        <f t="shared" si="18"/>
        <v>0.97327852004110993</v>
      </c>
      <c r="J317" s="4">
        <f t="shared" si="19"/>
        <v>0.88864560525492642</v>
      </c>
    </row>
    <row r="318" spans="1:10" x14ac:dyDescent="0.3">
      <c r="A318" s="2">
        <v>45602</v>
      </c>
      <c r="B318" s="3">
        <v>1</v>
      </c>
      <c r="C318" s="3">
        <v>3</v>
      </c>
      <c r="D318">
        <v>97</v>
      </c>
      <c r="E318">
        <v>2016</v>
      </c>
      <c r="F318">
        <v>49</v>
      </c>
      <c r="G318" s="4">
        <f t="shared" si="16"/>
        <v>0.86956521739130432</v>
      </c>
      <c r="H318" s="3">
        <f t="shared" si="17"/>
        <v>0.97</v>
      </c>
      <c r="I318" s="4">
        <f t="shared" si="18"/>
        <v>0.97569444444444442</v>
      </c>
      <c r="J318" s="4">
        <f t="shared" si="19"/>
        <v>0.8229770531400965</v>
      </c>
    </row>
    <row r="319" spans="1:10" x14ac:dyDescent="0.3">
      <c r="A319" s="2">
        <v>45603</v>
      </c>
      <c r="B319" s="3">
        <v>1</v>
      </c>
      <c r="C319" s="3">
        <v>2</v>
      </c>
      <c r="D319">
        <v>96</v>
      </c>
      <c r="E319">
        <v>2009</v>
      </c>
      <c r="F319">
        <v>45</v>
      </c>
      <c r="G319" s="4">
        <f t="shared" si="16"/>
        <v>0.91304347826086951</v>
      </c>
      <c r="H319" s="3">
        <f t="shared" si="17"/>
        <v>0.96</v>
      </c>
      <c r="I319" s="4">
        <f t="shared" si="18"/>
        <v>0.9776007964161274</v>
      </c>
      <c r="J319" s="4">
        <f t="shared" si="19"/>
        <v>0.85688835024996202</v>
      </c>
    </row>
    <row r="320" spans="1:10" x14ac:dyDescent="0.3">
      <c r="A320" s="2">
        <v>45604</v>
      </c>
      <c r="B320" s="3">
        <v>1</v>
      </c>
      <c r="C320" s="3">
        <v>2</v>
      </c>
      <c r="D320">
        <v>92</v>
      </c>
      <c r="E320">
        <v>1711</v>
      </c>
      <c r="F320">
        <v>44</v>
      </c>
      <c r="G320" s="4">
        <f t="shared" si="16"/>
        <v>0.91304347826086951</v>
      </c>
      <c r="H320" s="3">
        <f t="shared" si="17"/>
        <v>0.92</v>
      </c>
      <c r="I320" s="4">
        <f t="shared" si="18"/>
        <v>0.97428404441846872</v>
      </c>
      <c r="J320" s="4">
        <f t="shared" si="19"/>
        <v>0.81839859731151365</v>
      </c>
    </row>
    <row r="321" spans="1:10" x14ac:dyDescent="0.3">
      <c r="A321" s="2">
        <v>45605</v>
      </c>
      <c r="B321" s="3">
        <v>3</v>
      </c>
      <c r="C321" s="3">
        <v>1</v>
      </c>
      <c r="D321">
        <v>96</v>
      </c>
      <c r="E321">
        <v>2183</v>
      </c>
      <c r="F321">
        <v>38</v>
      </c>
      <c r="G321" s="4">
        <f t="shared" si="16"/>
        <v>0.95238095238095233</v>
      </c>
      <c r="H321" s="3">
        <f t="shared" si="17"/>
        <v>0.96</v>
      </c>
      <c r="I321" s="4">
        <f t="shared" si="18"/>
        <v>0.98259276225377923</v>
      </c>
      <c r="J321" s="4">
        <f t="shared" si="19"/>
        <v>0.8983705254891694</v>
      </c>
    </row>
    <row r="322" spans="1:10" x14ac:dyDescent="0.3">
      <c r="A322" s="2">
        <v>45606</v>
      </c>
      <c r="B322" s="3">
        <v>1</v>
      </c>
      <c r="C322" s="3">
        <v>2</v>
      </c>
      <c r="D322">
        <v>84</v>
      </c>
      <c r="E322">
        <v>1752</v>
      </c>
      <c r="F322">
        <v>30</v>
      </c>
      <c r="G322" s="4">
        <f t="shared" si="16"/>
        <v>0.91304347826086951</v>
      </c>
      <c r="H322" s="3">
        <f t="shared" si="17"/>
        <v>0.84</v>
      </c>
      <c r="I322" s="4">
        <f t="shared" si="18"/>
        <v>0.98287671232876717</v>
      </c>
      <c r="J322" s="4">
        <f t="shared" si="19"/>
        <v>0.75382370458606307</v>
      </c>
    </row>
    <row r="323" spans="1:10" x14ac:dyDescent="0.3">
      <c r="A323" s="2">
        <v>45607</v>
      </c>
      <c r="B323" s="3">
        <v>2</v>
      </c>
      <c r="C323" s="3">
        <v>1</v>
      </c>
      <c r="D323">
        <v>89</v>
      </c>
      <c r="E323">
        <v>2098</v>
      </c>
      <c r="F323">
        <v>53</v>
      </c>
      <c r="G323" s="4">
        <f t="shared" si="16"/>
        <v>0.95454545454545459</v>
      </c>
      <c r="H323" s="3">
        <f t="shared" si="17"/>
        <v>0.89</v>
      </c>
      <c r="I323" s="4">
        <f t="shared" si="18"/>
        <v>0.97473784556720688</v>
      </c>
      <c r="J323" s="4">
        <f t="shared" si="19"/>
        <v>0.8280841060750499</v>
      </c>
    </row>
    <row r="324" spans="1:10" x14ac:dyDescent="0.3">
      <c r="A324" s="2">
        <v>45608</v>
      </c>
      <c r="B324" s="3">
        <v>3</v>
      </c>
      <c r="C324" s="3">
        <v>1</v>
      </c>
      <c r="D324">
        <v>86</v>
      </c>
      <c r="E324">
        <v>2099</v>
      </c>
      <c r="F324">
        <v>39</v>
      </c>
      <c r="G324" s="4">
        <f t="shared" si="16"/>
        <v>0.95238095238095233</v>
      </c>
      <c r="H324" s="3">
        <f t="shared" si="17"/>
        <v>0.86</v>
      </c>
      <c r="I324" s="4">
        <f t="shared" si="18"/>
        <v>0.98141972367794184</v>
      </c>
      <c r="J324" s="4">
        <f t="shared" si="19"/>
        <v>0.80382948796479048</v>
      </c>
    </row>
    <row r="325" spans="1:10" x14ac:dyDescent="0.3">
      <c r="A325" s="2">
        <v>45609</v>
      </c>
      <c r="B325" s="3">
        <v>3</v>
      </c>
      <c r="C325" s="3">
        <v>3</v>
      </c>
      <c r="D325">
        <v>83</v>
      </c>
      <c r="E325">
        <v>1854</v>
      </c>
      <c r="F325">
        <v>46</v>
      </c>
      <c r="G325" s="4">
        <f t="shared" si="16"/>
        <v>0.8571428571428571</v>
      </c>
      <c r="H325" s="3">
        <f t="shared" si="17"/>
        <v>0.83</v>
      </c>
      <c r="I325" s="4">
        <f t="shared" si="18"/>
        <v>0.97518878101402373</v>
      </c>
      <c r="J325" s="4">
        <f t="shared" si="19"/>
        <v>0.69377716134997691</v>
      </c>
    </row>
    <row r="326" spans="1:10" x14ac:dyDescent="0.3">
      <c r="A326" s="2">
        <v>45610</v>
      </c>
      <c r="B326" s="3">
        <v>1</v>
      </c>
      <c r="C326" s="3">
        <v>3</v>
      </c>
      <c r="D326">
        <v>94</v>
      </c>
      <c r="E326">
        <v>1963</v>
      </c>
      <c r="F326">
        <v>43</v>
      </c>
      <c r="G326" s="4">
        <f t="shared" si="16"/>
        <v>0.86956521739130432</v>
      </c>
      <c r="H326" s="3">
        <f t="shared" si="17"/>
        <v>0.94</v>
      </c>
      <c r="I326" s="4">
        <f t="shared" si="18"/>
        <v>0.97809475292919001</v>
      </c>
      <c r="J326" s="4">
        <f t="shared" si="19"/>
        <v>0.79948614587255529</v>
      </c>
    </row>
    <row r="327" spans="1:10" x14ac:dyDescent="0.3">
      <c r="A327" s="2">
        <v>45611</v>
      </c>
      <c r="B327" s="3">
        <v>2</v>
      </c>
      <c r="C327" s="3">
        <v>1</v>
      </c>
      <c r="D327">
        <v>97</v>
      </c>
      <c r="E327">
        <v>2089</v>
      </c>
      <c r="F327">
        <v>36</v>
      </c>
      <c r="G327" s="4">
        <f t="shared" si="16"/>
        <v>0.95454545454545459</v>
      </c>
      <c r="H327" s="3">
        <f t="shared" si="17"/>
        <v>0.97</v>
      </c>
      <c r="I327" s="4">
        <f t="shared" si="18"/>
        <v>0.98276687410244135</v>
      </c>
      <c r="J327" s="4">
        <f t="shared" si="19"/>
        <v>0.90995278297576043</v>
      </c>
    </row>
    <row r="328" spans="1:10" x14ac:dyDescent="0.3">
      <c r="A328" s="2">
        <v>45612</v>
      </c>
      <c r="B328" s="3">
        <v>3</v>
      </c>
      <c r="C328" s="3">
        <v>1</v>
      </c>
      <c r="D328">
        <v>84</v>
      </c>
      <c r="E328">
        <v>1739</v>
      </c>
      <c r="F328">
        <v>53</v>
      </c>
      <c r="G328" s="4">
        <f t="shared" ref="G328:G373" si="20">($G$3-B328-C328)/($G$3-B328)</f>
        <v>0.95238095238095233</v>
      </c>
      <c r="H328" s="3">
        <f t="shared" si="17"/>
        <v>0.84</v>
      </c>
      <c r="I328" s="4">
        <f t="shared" si="18"/>
        <v>0.96952271420356528</v>
      </c>
      <c r="J328" s="4">
        <f t="shared" si="19"/>
        <v>0.77561817136285216</v>
      </c>
    </row>
    <row r="329" spans="1:10" x14ac:dyDescent="0.3">
      <c r="A329" s="2">
        <v>45613</v>
      </c>
      <c r="B329" s="3">
        <v>2</v>
      </c>
      <c r="C329" s="3">
        <v>1</v>
      </c>
      <c r="D329">
        <v>98</v>
      </c>
      <c r="E329">
        <v>2163</v>
      </c>
      <c r="F329">
        <v>41</v>
      </c>
      <c r="G329" s="4">
        <f t="shared" si="20"/>
        <v>0.95454545454545459</v>
      </c>
      <c r="H329" s="3">
        <f t="shared" ref="H329:H373" si="21">D329/$G$4</f>
        <v>0.98</v>
      </c>
      <c r="I329" s="4">
        <f t="shared" ref="I329:I373" si="22">(E329-F329)/E329</f>
        <v>0.981044845122515</v>
      </c>
      <c r="J329" s="4">
        <f t="shared" ref="J329:J373" si="23">G329*H329*I329</f>
        <v>0.9177228596646072</v>
      </c>
    </row>
    <row r="330" spans="1:10" x14ac:dyDescent="0.3">
      <c r="A330" s="2">
        <v>45614</v>
      </c>
      <c r="B330" s="3">
        <v>1</v>
      </c>
      <c r="C330" s="3">
        <v>3</v>
      </c>
      <c r="D330">
        <v>81</v>
      </c>
      <c r="E330">
        <v>1750</v>
      </c>
      <c r="F330">
        <v>45</v>
      </c>
      <c r="G330" s="4">
        <f t="shared" si="20"/>
        <v>0.86956521739130432</v>
      </c>
      <c r="H330" s="3">
        <f t="shared" si="21"/>
        <v>0.81</v>
      </c>
      <c r="I330" s="4">
        <f t="shared" si="22"/>
        <v>0.97428571428571431</v>
      </c>
      <c r="J330" s="4">
        <f t="shared" si="23"/>
        <v>0.68623602484472057</v>
      </c>
    </row>
    <row r="331" spans="1:10" x14ac:dyDescent="0.3">
      <c r="A331" s="2">
        <v>45615</v>
      </c>
      <c r="B331" s="3">
        <v>1</v>
      </c>
      <c r="C331" s="3">
        <v>3</v>
      </c>
      <c r="D331">
        <v>80</v>
      </c>
      <c r="E331">
        <v>1894</v>
      </c>
      <c r="F331">
        <v>40</v>
      </c>
      <c r="G331" s="4">
        <f t="shared" si="20"/>
        <v>0.86956521739130432</v>
      </c>
      <c r="H331" s="3">
        <f t="shared" si="21"/>
        <v>0.8</v>
      </c>
      <c r="I331" s="4">
        <f t="shared" si="22"/>
        <v>0.97888067581837379</v>
      </c>
      <c r="J331" s="4">
        <f t="shared" si="23"/>
        <v>0.68096047013452088</v>
      </c>
    </row>
    <row r="332" spans="1:10" x14ac:dyDescent="0.3">
      <c r="A332" s="2">
        <v>45616</v>
      </c>
      <c r="B332" s="3">
        <v>2</v>
      </c>
      <c r="C332" s="3">
        <v>2</v>
      </c>
      <c r="D332">
        <v>91</v>
      </c>
      <c r="E332">
        <v>2174</v>
      </c>
      <c r="F332">
        <v>27</v>
      </c>
      <c r="G332" s="4">
        <f t="shared" si="20"/>
        <v>0.90909090909090906</v>
      </c>
      <c r="H332" s="3">
        <f t="shared" si="21"/>
        <v>0.91</v>
      </c>
      <c r="I332" s="4">
        <f t="shared" si="22"/>
        <v>0.98758049678012882</v>
      </c>
      <c r="J332" s="4">
        <f t="shared" si="23"/>
        <v>0.81699841097265202</v>
      </c>
    </row>
    <row r="333" spans="1:10" x14ac:dyDescent="0.3">
      <c r="A333" s="2">
        <v>45617</v>
      </c>
      <c r="B333" s="3">
        <v>2</v>
      </c>
      <c r="C333" s="3">
        <v>3</v>
      </c>
      <c r="D333">
        <v>99</v>
      </c>
      <c r="E333">
        <v>2249</v>
      </c>
      <c r="F333">
        <v>23</v>
      </c>
      <c r="G333" s="4">
        <f t="shared" si="20"/>
        <v>0.86363636363636365</v>
      </c>
      <c r="H333" s="3">
        <f t="shared" si="21"/>
        <v>0.99</v>
      </c>
      <c r="I333" s="4">
        <f t="shared" si="22"/>
        <v>0.98977323254779903</v>
      </c>
      <c r="J333" s="4">
        <f t="shared" si="23"/>
        <v>0.84625611382836818</v>
      </c>
    </row>
    <row r="334" spans="1:10" x14ac:dyDescent="0.3">
      <c r="A334" s="2">
        <v>45618</v>
      </c>
      <c r="B334" s="3">
        <v>3</v>
      </c>
      <c r="C334" s="3">
        <v>3</v>
      </c>
      <c r="D334">
        <v>89</v>
      </c>
      <c r="E334">
        <v>2210</v>
      </c>
      <c r="F334">
        <v>22</v>
      </c>
      <c r="G334" s="4">
        <f t="shared" si="20"/>
        <v>0.8571428571428571</v>
      </c>
      <c r="H334" s="3">
        <f t="shared" si="21"/>
        <v>0.89</v>
      </c>
      <c r="I334" s="4">
        <f t="shared" si="22"/>
        <v>0.99004524886877832</v>
      </c>
      <c r="J334" s="4">
        <f t="shared" si="23"/>
        <v>0.75526308985132506</v>
      </c>
    </row>
    <row r="335" spans="1:10" x14ac:dyDescent="0.3">
      <c r="A335" s="2">
        <v>45619</v>
      </c>
      <c r="B335" s="3">
        <v>2</v>
      </c>
      <c r="C335" s="3">
        <v>3</v>
      </c>
      <c r="D335">
        <v>91</v>
      </c>
      <c r="E335">
        <v>1876</v>
      </c>
      <c r="F335">
        <v>33</v>
      </c>
      <c r="G335" s="4">
        <f t="shared" si="20"/>
        <v>0.86363636363636365</v>
      </c>
      <c r="H335" s="3">
        <f t="shared" si="21"/>
        <v>0.91</v>
      </c>
      <c r="I335" s="4">
        <f t="shared" si="22"/>
        <v>0.98240938166311298</v>
      </c>
      <c r="J335" s="4">
        <f t="shared" si="23"/>
        <v>0.77208446404341924</v>
      </c>
    </row>
    <row r="336" spans="1:10" x14ac:dyDescent="0.3">
      <c r="A336" s="2">
        <v>45620</v>
      </c>
      <c r="B336" s="3">
        <v>1</v>
      </c>
      <c r="C336" s="3">
        <v>1</v>
      </c>
      <c r="D336">
        <v>90</v>
      </c>
      <c r="E336">
        <v>2162</v>
      </c>
      <c r="F336">
        <v>31</v>
      </c>
      <c r="G336" s="4">
        <f t="shared" si="20"/>
        <v>0.95652173913043481</v>
      </c>
      <c r="H336" s="3">
        <f t="shared" si="21"/>
        <v>0.9</v>
      </c>
      <c r="I336" s="4">
        <f t="shared" si="22"/>
        <v>0.98566142460684547</v>
      </c>
      <c r="J336" s="4">
        <f t="shared" si="23"/>
        <v>0.8485259220528496</v>
      </c>
    </row>
    <row r="337" spans="1:10" x14ac:dyDescent="0.3">
      <c r="A337" s="2">
        <v>45621</v>
      </c>
      <c r="B337" s="3">
        <v>3</v>
      </c>
      <c r="C337" s="3">
        <v>3</v>
      </c>
      <c r="D337">
        <v>89</v>
      </c>
      <c r="E337">
        <v>1966</v>
      </c>
      <c r="F337">
        <v>38</v>
      </c>
      <c r="G337" s="4">
        <f t="shared" si="20"/>
        <v>0.8571428571428571</v>
      </c>
      <c r="H337" s="3">
        <f t="shared" si="21"/>
        <v>0.89</v>
      </c>
      <c r="I337" s="4">
        <f t="shared" si="22"/>
        <v>0.98067141403865721</v>
      </c>
      <c r="J337" s="4">
        <f t="shared" si="23"/>
        <v>0.74811219299520415</v>
      </c>
    </row>
    <row r="338" spans="1:10" x14ac:dyDescent="0.3">
      <c r="A338" s="2">
        <v>45622</v>
      </c>
      <c r="B338" s="3">
        <v>1</v>
      </c>
      <c r="C338" s="3">
        <v>3</v>
      </c>
      <c r="D338">
        <v>90</v>
      </c>
      <c r="E338">
        <v>2295</v>
      </c>
      <c r="F338">
        <v>27</v>
      </c>
      <c r="G338" s="4">
        <f t="shared" si="20"/>
        <v>0.86956521739130432</v>
      </c>
      <c r="H338" s="3">
        <f t="shared" si="21"/>
        <v>0.9</v>
      </c>
      <c r="I338" s="4">
        <f t="shared" si="22"/>
        <v>0.9882352941176471</v>
      </c>
      <c r="J338" s="4">
        <f t="shared" si="23"/>
        <v>0.77340153452685434</v>
      </c>
    </row>
    <row r="339" spans="1:10" x14ac:dyDescent="0.3">
      <c r="A339" s="2">
        <v>45623</v>
      </c>
      <c r="B339" s="3">
        <v>2</v>
      </c>
      <c r="C339" s="3">
        <v>3</v>
      </c>
      <c r="D339">
        <v>94</v>
      </c>
      <c r="E339">
        <v>1777</v>
      </c>
      <c r="F339">
        <v>28</v>
      </c>
      <c r="G339" s="4">
        <f t="shared" si="20"/>
        <v>0.86363636363636365</v>
      </c>
      <c r="H339" s="3">
        <f t="shared" si="21"/>
        <v>0.94</v>
      </c>
      <c r="I339" s="4">
        <f t="shared" si="22"/>
        <v>0.98424310635903212</v>
      </c>
      <c r="J339" s="4">
        <f t="shared" si="23"/>
        <v>0.7990264490714688</v>
      </c>
    </row>
    <row r="340" spans="1:10" x14ac:dyDescent="0.3">
      <c r="A340" s="2">
        <v>45624</v>
      </c>
      <c r="B340" s="3">
        <v>3</v>
      </c>
      <c r="C340" s="3">
        <v>1</v>
      </c>
      <c r="D340">
        <v>82</v>
      </c>
      <c r="E340">
        <v>2150</v>
      </c>
      <c r="F340">
        <v>53</v>
      </c>
      <c r="G340" s="4">
        <f t="shared" si="20"/>
        <v>0.95238095238095233</v>
      </c>
      <c r="H340" s="3">
        <f t="shared" si="21"/>
        <v>0.82</v>
      </c>
      <c r="I340" s="4">
        <f t="shared" si="22"/>
        <v>0.97534883720930232</v>
      </c>
      <c r="J340" s="4">
        <f t="shared" si="23"/>
        <v>0.76170099667774072</v>
      </c>
    </row>
    <row r="341" spans="1:10" x14ac:dyDescent="0.3">
      <c r="A341" s="2">
        <v>45625</v>
      </c>
      <c r="B341" s="3">
        <v>1</v>
      </c>
      <c r="C341" s="3">
        <v>1</v>
      </c>
      <c r="D341">
        <v>83</v>
      </c>
      <c r="E341">
        <v>2028</v>
      </c>
      <c r="F341">
        <v>51</v>
      </c>
      <c r="G341" s="4">
        <f t="shared" si="20"/>
        <v>0.95652173913043481</v>
      </c>
      <c r="H341" s="3">
        <f t="shared" si="21"/>
        <v>0.83</v>
      </c>
      <c r="I341" s="4">
        <f t="shared" si="22"/>
        <v>0.9748520710059172</v>
      </c>
      <c r="J341" s="4">
        <f t="shared" si="23"/>
        <v>0.77394777463339337</v>
      </c>
    </row>
    <row r="342" spans="1:10" x14ac:dyDescent="0.3">
      <c r="A342" s="2">
        <v>45626</v>
      </c>
      <c r="B342" s="3">
        <v>3</v>
      </c>
      <c r="C342" s="3">
        <v>2</v>
      </c>
      <c r="D342">
        <v>96</v>
      </c>
      <c r="E342">
        <v>1783</v>
      </c>
      <c r="F342">
        <v>33</v>
      </c>
      <c r="G342" s="4">
        <f t="shared" si="20"/>
        <v>0.90476190476190477</v>
      </c>
      <c r="H342" s="3">
        <f t="shared" si="21"/>
        <v>0.96</v>
      </c>
      <c r="I342" s="4">
        <f t="shared" si="22"/>
        <v>0.98149186763881102</v>
      </c>
      <c r="J342" s="4">
        <f t="shared" si="23"/>
        <v>0.85249579360628158</v>
      </c>
    </row>
    <row r="343" spans="1:10" x14ac:dyDescent="0.3">
      <c r="A343" s="2">
        <v>45627</v>
      </c>
      <c r="B343" s="3">
        <v>2</v>
      </c>
      <c r="C343" s="3">
        <v>3</v>
      </c>
      <c r="D343">
        <v>95</v>
      </c>
      <c r="E343">
        <v>1975</v>
      </c>
      <c r="F343">
        <v>56</v>
      </c>
      <c r="G343" s="4">
        <f t="shared" si="20"/>
        <v>0.86363636363636365</v>
      </c>
      <c r="H343" s="3">
        <f t="shared" si="21"/>
        <v>0.95</v>
      </c>
      <c r="I343" s="4">
        <f t="shared" si="22"/>
        <v>0.97164556962025317</v>
      </c>
      <c r="J343" s="4">
        <f t="shared" si="23"/>
        <v>0.79719102416570775</v>
      </c>
    </row>
    <row r="344" spans="1:10" x14ac:dyDescent="0.3">
      <c r="A344" s="2">
        <v>45628</v>
      </c>
      <c r="B344" s="3">
        <v>1</v>
      </c>
      <c r="C344" s="3">
        <v>3</v>
      </c>
      <c r="D344">
        <v>99</v>
      </c>
      <c r="E344">
        <v>1983</v>
      </c>
      <c r="F344">
        <v>43</v>
      </c>
      <c r="G344" s="4">
        <f t="shared" si="20"/>
        <v>0.86956521739130432</v>
      </c>
      <c r="H344" s="3">
        <f t="shared" si="21"/>
        <v>0.99</v>
      </c>
      <c r="I344" s="4">
        <f t="shared" si="22"/>
        <v>0.97831568330811902</v>
      </c>
      <c r="J344" s="4">
        <f t="shared" si="23"/>
        <v>0.84220219693481546</v>
      </c>
    </row>
    <row r="345" spans="1:10" x14ac:dyDescent="0.3">
      <c r="A345" s="2">
        <v>45629</v>
      </c>
      <c r="B345" s="3">
        <v>2</v>
      </c>
      <c r="C345" s="3">
        <v>1</v>
      </c>
      <c r="D345">
        <v>96</v>
      </c>
      <c r="E345">
        <v>2266</v>
      </c>
      <c r="F345">
        <v>37</v>
      </c>
      <c r="G345" s="4">
        <f t="shared" si="20"/>
        <v>0.95454545454545459</v>
      </c>
      <c r="H345" s="3">
        <f t="shared" si="21"/>
        <v>0.96</v>
      </c>
      <c r="I345" s="4">
        <f t="shared" si="22"/>
        <v>0.98367166813768758</v>
      </c>
      <c r="J345" s="4">
        <f t="shared" si="23"/>
        <v>0.90140094680253557</v>
      </c>
    </row>
    <row r="346" spans="1:10" x14ac:dyDescent="0.3">
      <c r="A346" s="2">
        <v>45630</v>
      </c>
      <c r="B346" s="3">
        <v>1</v>
      </c>
      <c r="C346" s="3">
        <v>3</v>
      </c>
      <c r="D346">
        <v>90</v>
      </c>
      <c r="E346">
        <v>1713</v>
      </c>
      <c r="F346">
        <v>37</v>
      </c>
      <c r="G346" s="4">
        <f t="shared" si="20"/>
        <v>0.86956521739130432</v>
      </c>
      <c r="H346" s="3">
        <f t="shared" si="21"/>
        <v>0.9</v>
      </c>
      <c r="I346" s="4">
        <f t="shared" si="22"/>
        <v>0.9784004670169294</v>
      </c>
      <c r="J346" s="4">
        <f t="shared" si="23"/>
        <v>0.76570471331759693</v>
      </c>
    </row>
    <row r="347" spans="1:10" x14ac:dyDescent="0.3">
      <c r="A347" s="2">
        <v>45631</v>
      </c>
      <c r="B347" s="3">
        <v>2</v>
      </c>
      <c r="C347" s="3">
        <v>3</v>
      </c>
      <c r="D347">
        <v>80</v>
      </c>
      <c r="E347">
        <v>2267</v>
      </c>
      <c r="F347">
        <v>36</v>
      </c>
      <c r="G347" s="4">
        <f t="shared" si="20"/>
        <v>0.86363636363636365</v>
      </c>
      <c r="H347" s="3">
        <f t="shared" si="21"/>
        <v>0.8</v>
      </c>
      <c r="I347" s="4">
        <f t="shared" si="22"/>
        <v>0.98411998235553599</v>
      </c>
      <c r="J347" s="4">
        <f t="shared" si="23"/>
        <v>0.67993744235473397</v>
      </c>
    </row>
    <row r="348" spans="1:10" x14ac:dyDescent="0.3">
      <c r="A348" s="2">
        <v>45632</v>
      </c>
      <c r="B348" s="3">
        <v>1</v>
      </c>
      <c r="C348" s="3">
        <v>3</v>
      </c>
      <c r="D348">
        <v>81</v>
      </c>
      <c r="E348">
        <v>1703</v>
      </c>
      <c r="F348">
        <v>57</v>
      </c>
      <c r="G348" s="4">
        <f t="shared" si="20"/>
        <v>0.86956521739130432</v>
      </c>
      <c r="H348" s="3">
        <f t="shared" si="21"/>
        <v>0.81</v>
      </c>
      <c r="I348" s="4">
        <f t="shared" si="22"/>
        <v>0.96652965355255427</v>
      </c>
      <c r="J348" s="4">
        <f t="shared" si="23"/>
        <v>0.68077306032832086</v>
      </c>
    </row>
    <row r="349" spans="1:10" x14ac:dyDescent="0.3">
      <c r="A349" s="2">
        <v>45633</v>
      </c>
      <c r="B349" s="3">
        <v>2</v>
      </c>
      <c r="C349" s="3">
        <v>3</v>
      </c>
      <c r="D349">
        <v>82</v>
      </c>
      <c r="E349">
        <v>1709</v>
      </c>
      <c r="F349">
        <v>40</v>
      </c>
      <c r="G349" s="4">
        <f t="shared" si="20"/>
        <v>0.86363636363636365</v>
      </c>
      <c r="H349" s="3">
        <f t="shared" si="21"/>
        <v>0.82</v>
      </c>
      <c r="I349" s="4">
        <f t="shared" si="22"/>
        <v>0.97659449970743128</v>
      </c>
      <c r="J349" s="4">
        <f t="shared" si="23"/>
        <v>0.69160646842917173</v>
      </c>
    </row>
    <row r="350" spans="1:10" x14ac:dyDescent="0.3">
      <c r="A350" s="2">
        <v>45634</v>
      </c>
      <c r="B350" s="3">
        <v>3</v>
      </c>
      <c r="C350" s="3">
        <v>3</v>
      </c>
      <c r="D350">
        <v>86</v>
      </c>
      <c r="E350">
        <v>1794</v>
      </c>
      <c r="F350">
        <v>37</v>
      </c>
      <c r="G350" s="4">
        <f t="shared" si="20"/>
        <v>0.8571428571428571</v>
      </c>
      <c r="H350" s="3">
        <f t="shared" si="21"/>
        <v>0.86</v>
      </c>
      <c r="I350" s="4">
        <f t="shared" si="22"/>
        <v>0.97937569676700109</v>
      </c>
      <c r="J350" s="4">
        <f t="shared" si="23"/>
        <v>0.72193979933110364</v>
      </c>
    </row>
    <row r="351" spans="1:10" x14ac:dyDescent="0.3">
      <c r="A351" s="2">
        <v>45635</v>
      </c>
      <c r="B351" s="3">
        <v>1</v>
      </c>
      <c r="C351" s="3">
        <v>2</v>
      </c>
      <c r="D351">
        <v>97</v>
      </c>
      <c r="E351">
        <v>1754</v>
      </c>
      <c r="F351">
        <v>40</v>
      </c>
      <c r="G351" s="4">
        <f t="shared" si="20"/>
        <v>0.91304347826086951</v>
      </c>
      <c r="H351" s="3">
        <f t="shared" si="21"/>
        <v>0.97</v>
      </c>
      <c r="I351" s="4">
        <f t="shared" si="22"/>
        <v>0.97719498289623719</v>
      </c>
      <c r="J351" s="4">
        <f t="shared" si="23"/>
        <v>0.86545486093897173</v>
      </c>
    </row>
    <row r="352" spans="1:10" x14ac:dyDescent="0.3">
      <c r="A352" s="2">
        <v>45636</v>
      </c>
      <c r="B352" s="3">
        <v>1</v>
      </c>
      <c r="C352" s="3">
        <v>2</v>
      </c>
      <c r="D352">
        <v>98</v>
      </c>
      <c r="E352">
        <v>2269</v>
      </c>
      <c r="F352">
        <v>21</v>
      </c>
      <c r="G352" s="4">
        <f t="shared" si="20"/>
        <v>0.91304347826086951</v>
      </c>
      <c r="H352" s="3">
        <f t="shared" si="21"/>
        <v>0.98</v>
      </c>
      <c r="I352" s="4">
        <f t="shared" si="22"/>
        <v>0.99074482150727194</v>
      </c>
      <c r="J352" s="4">
        <f t="shared" si="23"/>
        <v>0.88650123593998498</v>
      </c>
    </row>
    <row r="353" spans="1:10" x14ac:dyDescent="0.3">
      <c r="A353" s="2">
        <v>45637</v>
      </c>
      <c r="B353" s="3">
        <v>2</v>
      </c>
      <c r="C353" s="3">
        <v>3</v>
      </c>
      <c r="D353">
        <v>92</v>
      </c>
      <c r="E353">
        <v>1851</v>
      </c>
      <c r="F353">
        <v>44</v>
      </c>
      <c r="G353" s="4">
        <f t="shared" si="20"/>
        <v>0.86363636363636365</v>
      </c>
      <c r="H353" s="3">
        <f t="shared" si="21"/>
        <v>0.92</v>
      </c>
      <c r="I353" s="4">
        <f t="shared" si="22"/>
        <v>0.97622906537007026</v>
      </c>
      <c r="J353" s="4">
        <f t="shared" si="23"/>
        <v>0.77565836648494679</v>
      </c>
    </row>
    <row r="354" spans="1:10" x14ac:dyDescent="0.3">
      <c r="A354" s="2">
        <v>45638</v>
      </c>
      <c r="B354" s="3">
        <v>3</v>
      </c>
      <c r="C354" s="3">
        <v>1</v>
      </c>
      <c r="D354">
        <v>85</v>
      </c>
      <c r="E354">
        <v>1833</v>
      </c>
      <c r="F354">
        <v>21</v>
      </c>
      <c r="G354" s="4">
        <f t="shared" si="20"/>
        <v>0.95238095238095233</v>
      </c>
      <c r="H354" s="3">
        <f t="shared" si="21"/>
        <v>0.85</v>
      </c>
      <c r="I354" s="4">
        <f t="shared" si="22"/>
        <v>0.98854337152209493</v>
      </c>
      <c r="J354" s="4">
        <f t="shared" si="23"/>
        <v>0.80024939599407674</v>
      </c>
    </row>
    <row r="355" spans="1:10" x14ac:dyDescent="0.3">
      <c r="A355" s="2">
        <v>45639</v>
      </c>
      <c r="B355" s="3">
        <v>2</v>
      </c>
      <c r="C355" s="3">
        <v>1</v>
      </c>
      <c r="D355">
        <v>84</v>
      </c>
      <c r="E355">
        <v>1998</v>
      </c>
      <c r="F355">
        <v>38</v>
      </c>
      <c r="G355" s="4">
        <f t="shared" si="20"/>
        <v>0.95454545454545459</v>
      </c>
      <c r="H355" s="3">
        <f t="shared" si="21"/>
        <v>0.84</v>
      </c>
      <c r="I355" s="4">
        <f t="shared" si="22"/>
        <v>0.98098098098098097</v>
      </c>
      <c r="J355" s="4">
        <f t="shared" si="23"/>
        <v>0.78656838656838657</v>
      </c>
    </row>
    <row r="356" spans="1:10" x14ac:dyDescent="0.3">
      <c r="A356" s="2">
        <v>45640</v>
      </c>
      <c r="B356" s="3">
        <v>2</v>
      </c>
      <c r="C356" s="3">
        <v>1</v>
      </c>
      <c r="D356">
        <v>97</v>
      </c>
      <c r="E356">
        <v>2173</v>
      </c>
      <c r="F356">
        <v>35</v>
      </c>
      <c r="G356" s="4">
        <f t="shared" si="20"/>
        <v>0.95454545454545459</v>
      </c>
      <c r="H356" s="3">
        <f t="shared" si="21"/>
        <v>0.97</v>
      </c>
      <c r="I356" s="4">
        <f t="shared" si="22"/>
        <v>0.9838932351587667</v>
      </c>
      <c r="J356" s="4">
        <f t="shared" si="23"/>
        <v>0.91099569091745802</v>
      </c>
    </row>
    <row r="357" spans="1:10" x14ac:dyDescent="0.3">
      <c r="A357" s="2">
        <v>45641</v>
      </c>
      <c r="B357" s="3">
        <v>2</v>
      </c>
      <c r="C357" s="3">
        <v>3</v>
      </c>
      <c r="D357">
        <v>92</v>
      </c>
      <c r="E357">
        <v>1783</v>
      </c>
      <c r="F357">
        <v>49</v>
      </c>
      <c r="G357" s="4">
        <f t="shared" si="20"/>
        <v>0.86363636363636365</v>
      </c>
      <c r="H357" s="3">
        <f t="shared" si="21"/>
        <v>0.92</v>
      </c>
      <c r="I357" s="4">
        <f t="shared" si="22"/>
        <v>0.97251822770611329</v>
      </c>
      <c r="J357" s="4">
        <f t="shared" si="23"/>
        <v>0.77270993728649362</v>
      </c>
    </row>
    <row r="358" spans="1:10" x14ac:dyDescent="0.3">
      <c r="A358" s="2">
        <v>45642</v>
      </c>
      <c r="B358" s="3">
        <v>3</v>
      </c>
      <c r="C358" s="3">
        <v>1</v>
      </c>
      <c r="D358">
        <v>88</v>
      </c>
      <c r="E358">
        <v>1929</v>
      </c>
      <c r="F358">
        <v>24</v>
      </c>
      <c r="G358" s="4">
        <f t="shared" si="20"/>
        <v>0.95238095238095233</v>
      </c>
      <c r="H358" s="3">
        <f t="shared" si="21"/>
        <v>0.88</v>
      </c>
      <c r="I358" s="4">
        <f t="shared" si="22"/>
        <v>0.98755832037325042</v>
      </c>
      <c r="J358" s="4">
        <f t="shared" si="23"/>
        <v>0.82766792564615266</v>
      </c>
    </row>
    <row r="359" spans="1:10" x14ac:dyDescent="0.3">
      <c r="A359" s="2">
        <v>45643</v>
      </c>
      <c r="B359" s="3">
        <v>2</v>
      </c>
      <c r="C359" s="3">
        <v>2</v>
      </c>
      <c r="D359">
        <v>83</v>
      </c>
      <c r="E359">
        <v>1931</v>
      </c>
      <c r="F359">
        <v>35</v>
      </c>
      <c r="G359" s="4">
        <f t="shared" si="20"/>
        <v>0.90909090909090906</v>
      </c>
      <c r="H359" s="3">
        <f t="shared" si="21"/>
        <v>0.83</v>
      </c>
      <c r="I359" s="4">
        <f t="shared" si="22"/>
        <v>0.981874676333506</v>
      </c>
      <c r="J359" s="4">
        <f t="shared" si="23"/>
        <v>0.74086907396073631</v>
      </c>
    </row>
    <row r="360" spans="1:10" x14ac:dyDescent="0.3">
      <c r="A360" s="2">
        <v>45644</v>
      </c>
      <c r="B360" s="3">
        <v>2</v>
      </c>
      <c r="C360" s="3">
        <v>1</v>
      </c>
      <c r="D360">
        <v>97</v>
      </c>
      <c r="E360">
        <v>2133</v>
      </c>
      <c r="F360">
        <v>59</v>
      </c>
      <c r="G360" s="4">
        <f t="shared" si="20"/>
        <v>0.95454545454545459</v>
      </c>
      <c r="H360" s="3">
        <f t="shared" si="21"/>
        <v>0.97</v>
      </c>
      <c r="I360" s="4">
        <f t="shared" si="22"/>
        <v>0.97233942803563056</v>
      </c>
      <c r="J360" s="4">
        <f t="shared" si="23"/>
        <v>0.90029791586753616</v>
      </c>
    </row>
    <row r="361" spans="1:10" x14ac:dyDescent="0.3">
      <c r="A361" s="2">
        <v>45645</v>
      </c>
      <c r="B361" s="3">
        <v>3</v>
      </c>
      <c r="C361" s="3">
        <v>3</v>
      </c>
      <c r="D361">
        <v>86</v>
      </c>
      <c r="E361">
        <v>1816</v>
      </c>
      <c r="F361">
        <v>44</v>
      </c>
      <c r="G361" s="4">
        <f t="shared" si="20"/>
        <v>0.8571428571428571</v>
      </c>
      <c r="H361" s="3">
        <f t="shared" si="21"/>
        <v>0.86</v>
      </c>
      <c r="I361" s="4">
        <f t="shared" si="22"/>
        <v>0.97577092511013219</v>
      </c>
      <c r="J361" s="4">
        <f t="shared" si="23"/>
        <v>0.71928256765261167</v>
      </c>
    </row>
    <row r="362" spans="1:10" x14ac:dyDescent="0.3">
      <c r="A362" s="2">
        <v>45646</v>
      </c>
      <c r="B362" s="3">
        <v>2</v>
      </c>
      <c r="C362" s="3">
        <v>2</v>
      </c>
      <c r="D362">
        <v>100</v>
      </c>
      <c r="E362">
        <v>1925</v>
      </c>
      <c r="F362">
        <v>52</v>
      </c>
      <c r="G362" s="4">
        <f t="shared" si="20"/>
        <v>0.90909090909090906</v>
      </c>
      <c r="H362" s="3">
        <f t="shared" si="21"/>
        <v>1</v>
      </c>
      <c r="I362" s="4">
        <f t="shared" si="22"/>
        <v>0.97298701298701296</v>
      </c>
      <c r="J362" s="4">
        <f t="shared" si="23"/>
        <v>0.88453364817001179</v>
      </c>
    </row>
    <row r="363" spans="1:10" x14ac:dyDescent="0.3">
      <c r="A363" s="2">
        <v>45647</v>
      </c>
      <c r="B363" s="3">
        <v>1</v>
      </c>
      <c r="C363" s="3">
        <v>3</v>
      </c>
      <c r="D363">
        <v>80</v>
      </c>
      <c r="E363">
        <v>2144</v>
      </c>
      <c r="F363">
        <v>44</v>
      </c>
      <c r="G363" s="4">
        <f t="shared" si="20"/>
        <v>0.86956521739130432</v>
      </c>
      <c r="H363" s="3">
        <f t="shared" si="21"/>
        <v>0.8</v>
      </c>
      <c r="I363" s="4">
        <f t="shared" si="22"/>
        <v>0.97947761194029848</v>
      </c>
      <c r="J363" s="4">
        <f t="shared" si="23"/>
        <v>0.68137573004542495</v>
      </c>
    </row>
    <row r="364" spans="1:10" x14ac:dyDescent="0.3">
      <c r="A364" s="2">
        <v>45648</v>
      </c>
      <c r="B364" s="3">
        <v>2</v>
      </c>
      <c r="C364" s="3">
        <v>1</v>
      </c>
      <c r="D364">
        <v>88</v>
      </c>
      <c r="E364">
        <v>2217</v>
      </c>
      <c r="F364">
        <v>33</v>
      </c>
      <c r="G364" s="4">
        <f t="shared" si="20"/>
        <v>0.95454545454545459</v>
      </c>
      <c r="H364" s="3">
        <f t="shared" si="21"/>
        <v>0.88</v>
      </c>
      <c r="I364" s="4">
        <f t="shared" si="22"/>
        <v>0.9851150202976996</v>
      </c>
      <c r="J364" s="4">
        <f t="shared" si="23"/>
        <v>0.82749661705006772</v>
      </c>
    </row>
    <row r="365" spans="1:10" x14ac:dyDescent="0.3">
      <c r="A365" s="2">
        <v>45649</v>
      </c>
      <c r="B365" s="3">
        <v>2</v>
      </c>
      <c r="C365" s="3">
        <v>3</v>
      </c>
      <c r="D365">
        <v>91</v>
      </c>
      <c r="E365">
        <v>1733</v>
      </c>
      <c r="F365">
        <v>20</v>
      </c>
      <c r="G365" s="4">
        <f t="shared" si="20"/>
        <v>0.86363636363636365</v>
      </c>
      <c r="H365" s="3">
        <f t="shared" si="21"/>
        <v>0.91</v>
      </c>
      <c r="I365" s="4">
        <f t="shared" si="22"/>
        <v>0.98845931909982687</v>
      </c>
      <c r="J365" s="4">
        <f t="shared" si="23"/>
        <v>0.77683916487436389</v>
      </c>
    </row>
    <row r="366" spans="1:10" x14ac:dyDescent="0.3">
      <c r="A366" s="2">
        <v>45650</v>
      </c>
      <c r="B366" s="3">
        <v>3</v>
      </c>
      <c r="C366" s="3">
        <v>2</v>
      </c>
      <c r="D366">
        <v>98</v>
      </c>
      <c r="E366">
        <v>2290</v>
      </c>
      <c r="F366">
        <v>58</v>
      </c>
      <c r="G366" s="4">
        <f t="shared" si="20"/>
        <v>0.90476190476190477</v>
      </c>
      <c r="H366" s="3">
        <f t="shared" si="21"/>
        <v>0.98</v>
      </c>
      <c r="I366" s="4">
        <f t="shared" si="22"/>
        <v>0.97467248908296944</v>
      </c>
      <c r="J366" s="4">
        <f t="shared" si="23"/>
        <v>0.86420960698689953</v>
      </c>
    </row>
    <row r="367" spans="1:10" x14ac:dyDescent="0.3">
      <c r="A367" s="2">
        <v>45651</v>
      </c>
      <c r="B367" s="3">
        <v>3</v>
      </c>
      <c r="C367" s="3">
        <v>2</v>
      </c>
      <c r="D367">
        <v>89</v>
      </c>
      <c r="E367">
        <v>1824</v>
      </c>
      <c r="F367">
        <v>45</v>
      </c>
      <c r="G367" s="4">
        <f t="shared" si="20"/>
        <v>0.90476190476190477</v>
      </c>
      <c r="H367" s="3">
        <f t="shared" si="21"/>
        <v>0.89</v>
      </c>
      <c r="I367" s="4">
        <f t="shared" si="22"/>
        <v>0.97532894736842102</v>
      </c>
      <c r="J367" s="4">
        <f t="shared" si="23"/>
        <v>0.78537202380952387</v>
      </c>
    </row>
    <row r="368" spans="1:10" x14ac:dyDescent="0.3">
      <c r="A368" s="2">
        <v>45652</v>
      </c>
      <c r="B368" s="3">
        <v>1</v>
      </c>
      <c r="C368" s="3">
        <v>2</v>
      </c>
      <c r="D368">
        <v>88</v>
      </c>
      <c r="E368">
        <v>1861</v>
      </c>
      <c r="F368">
        <v>32</v>
      </c>
      <c r="G368" s="4">
        <f t="shared" si="20"/>
        <v>0.91304347826086951</v>
      </c>
      <c r="H368" s="3">
        <f t="shared" si="21"/>
        <v>0.88</v>
      </c>
      <c r="I368" s="4">
        <f t="shared" si="22"/>
        <v>0.98280494357872117</v>
      </c>
      <c r="J368" s="4">
        <f t="shared" si="23"/>
        <v>0.78966240684064204</v>
      </c>
    </row>
    <row r="369" spans="1:10" x14ac:dyDescent="0.3">
      <c r="A369" s="2">
        <v>45653</v>
      </c>
      <c r="B369" s="3">
        <v>3</v>
      </c>
      <c r="C369" s="3">
        <v>2</v>
      </c>
      <c r="D369">
        <v>84</v>
      </c>
      <c r="E369">
        <v>1933</v>
      </c>
      <c r="F369">
        <v>36</v>
      </c>
      <c r="G369" s="4">
        <f t="shared" si="20"/>
        <v>0.90476190476190477</v>
      </c>
      <c r="H369" s="3">
        <f t="shared" si="21"/>
        <v>0.84</v>
      </c>
      <c r="I369" s="4">
        <f t="shared" si="22"/>
        <v>0.98137609932747027</v>
      </c>
      <c r="J369" s="4">
        <f t="shared" si="23"/>
        <v>0.7458458354888774</v>
      </c>
    </row>
    <row r="370" spans="1:10" x14ac:dyDescent="0.3">
      <c r="A370" s="2">
        <v>45654</v>
      </c>
      <c r="B370" s="3">
        <v>3</v>
      </c>
      <c r="C370" s="3">
        <v>1</v>
      </c>
      <c r="D370">
        <v>84</v>
      </c>
      <c r="E370">
        <v>2013</v>
      </c>
      <c r="F370">
        <v>23</v>
      </c>
      <c r="G370" s="4">
        <f t="shared" si="20"/>
        <v>0.95238095238095233</v>
      </c>
      <c r="H370" s="3">
        <f t="shared" si="21"/>
        <v>0.84</v>
      </c>
      <c r="I370" s="4">
        <f t="shared" si="22"/>
        <v>0.98857426726279185</v>
      </c>
      <c r="J370" s="4">
        <f t="shared" si="23"/>
        <v>0.79085941381023339</v>
      </c>
    </row>
    <row r="371" spans="1:10" x14ac:dyDescent="0.3">
      <c r="A371" s="2">
        <v>45655</v>
      </c>
      <c r="B371" s="3">
        <v>2</v>
      </c>
      <c r="C371" s="3">
        <v>1</v>
      </c>
      <c r="D371">
        <v>95</v>
      </c>
      <c r="E371">
        <v>1867</v>
      </c>
      <c r="F371">
        <v>40</v>
      </c>
      <c r="G371" s="4">
        <f t="shared" si="20"/>
        <v>0.95454545454545459</v>
      </c>
      <c r="H371" s="3">
        <f t="shared" si="21"/>
        <v>0.95</v>
      </c>
      <c r="I371" s="4">
        <f t="shared" si="22"/>
        <v>0.97857525441885373</v>
      </c>
      <c r="J371" s="4">
        <f t="shared" si="23"/>
        <v>0.88738983298436969</v>
      </c>
    </row>
    <row r="372" spans="1:10" x14ac:dyDescent="0.3">
      <c r="A372" s="2">
        <v>45656</v>
      </c>
      <c r="B372" s="3">
        <v>3</v>
      </c>
      <c r="C372" s="3">
        <v>1</v>
      </c>
      <c r="D372">
        <v>84</v>
      </c>
      <c r="E372">
        <v>2173</v>
      </c>
      <c r="F372">
        <v>35</v>
      </c>
      <c r="G372" s="4">
        <f t="shared" si="20"/>
        <v>0.95238095238095233</v>
      </c>
      <c r="H372" s="3">
        <f t="shared" si="21"/>
        <v>0.84</v>
      </c>
      <c r="I372" s="4">
        <f t="shared" si="22"/>
        <v>0.9838932351587667</v>
      </c>
      <c r="J372" s="4">
        <f t="shared" si="23"/>
        <v>0.78711458812701329</v>
      </c>
    </row>
    <row r="373" spans="1:10" x14ac:dyDescent="0.3">
      <c r="A373" s="2">
        <v>45657</v>
      </c>
      <c r="B373" s="3">
        <v>3</v>
      </c>
      <c r="C373" s="3">
        <v>2</v>
      </c>
      <c r="D373">
        <v>82</v>
      </c>
      <c r="E373">
        <v>2201</v>
      </c>
      <c r="F373">
        <v>25</v>
      </c>
      <c r="G373" s="4">
        <f t="shared" si="20"/>
        <v>0.90476190476190477</v>
      </c>
      <c r="H373" s="3">
        <f t="shared" si="21"/>
        <v>0.82</v>
      </c>
      <c r="I373" s="4">
        <f t="shared" si="22"/>
        <v>0.98864152657882776</v>
      </c>
      <c r="J373" s="4">
        <f t="shared" si="23"/>
        <v>0.73347785638562546</v>
      </c>
    </row>
  </sheetData>
  <mergeCells count="5">
    <mergeCell ref="L9:M9"/>
    <mergeCell ref="L10:M10"/>
    <mergeCell ref="L11:M11"/>
    <mergeCell ref="L12:M1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682E-9EC0-4D3C-A14F-D8B8DE279C16}">
  <dimension ref="A1:N373"/>
  <sheetViews>
    <sheetView tabSelected="1" topLeftCell="A2" workbookViewId="0">
      <selection activeCell="J9" sqref="J9"/>
    </sheetView>
  </sheetViews>
  <sheetFormatPr baseColWidth="10" defaultRowHeight="14.4" x14ac:dyDescent="0.3"/>
  <cols>
    <col min="2" max="6" width="11.44140625" customWidth="1"/>
    <col min="7" max="7" width="13.6640625" customWidth="1"/>
    <col min="8" max="8" width="13.5546875" customWidth="1"/>
  </cols>
  <sheetData>
    <row r="1" spans="1:14" ht="23.4" x14ac:dyDescent="0.45">
      <c r="A1" s="10" t="s">
        <v>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4" ht="23.4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4" ht="23.4" x14ac:dyDescent="0.45">
      <c r="A3" s="7"/>
      <c r="B3" s="8" t="s">
        <v>1</v>
      </c>
      <c r="D3" s="7"/>
      <c r="E3" s="7"/>
      <c r="F3" s="6"/>
      <c r="G3" s="3">
        <v>24</v>
      </c>
      <c r="H3" s="6"/>
      <c r="I3" s="6"/>
      <c r="J3" s="6"/>
      <c r="K3" s="6"/>
      <c r="L3" s="6"/>
      <c r="M3" s="6"/>
    </row>
    <row r="4" spans="1:14" ht="23.4" x14ac:dyDescent="0.45">
      <c r="A4" s="7"/>
      <c r="B4" s="8" t="s">
        <v>4</v>
      </c>
      <c r="D4" s="7"/>
      <c r="E4" s="7"/>
      <c r="F4" s="6"/>
      <c r="G4" s="3">
        <v>100</v>
      </c>
      <c r="H4" s="6"/>
      <c r="I4" s="6"/>
      <c r="J4" s="6"/>
      <c r="K4" s="6"/>
      <c r="L4" s="6"/>
      <c r="M4" s="6"/>
    </row>
    <row r="5" spans="1:14" ht="23.4" x14ac:dyDescent="0.4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4" ht="23.4" x14ac:dyDescent="0.4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4" ht="72" x14ac:dyDescent="0.3">
      <c r="A7" s="1" t="s">
        <v>0</v>
      </c>
      <c r="B7" s="1" t="s">
        <v>2</v>
      </c>
      <c r="C7" s="1" t="s">
        <v>3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</row>
    <row r="8" spans="1:14" x14ac:dyDescent="0.3">
      <c r="A8" s="2">
        <v>45292</v>
      </c>
      <c r="B8" s="3">
        <v>3</v>
      </c>
      <c r="C8" s="3">
        <v>3</v>
      </c>
      <c r="D8" s="3">
        <v>90</v>
      </c>
      <c r="E8" s="3">
        <v>2000</v>
      </c>
      <c r="F8" s="3">
        <v>50</v>
      </c>
      <c r="G8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8" s="3">
        <f>Tableau2[[#This Row],[Vitesse de production réelle (unités/heure)]]/vitesseTheorique</f>
        <v>0.9</v>
      </c>
      <c r="I8" s="4">
        <f>(Tableau2[[#This Row],[Nombre total d''unités produites]]-Tableau2[[#This Row],[Nombre d''unités défectueuses]])/Tableau2[[#This Row],[Nombre total d''unités produites]]</f>
        <v>0.97499999999999998</v>
      </c>
      <c r="J8" s="4">
        <f>Tableau2[[#This Row],[Disponibilité]]*Tableau2[[#This Row],[Performance]]*Tableau2[[#This Row],[Qualité]]</f>
        <v>0.752142857142857</v>
      </c>
    </row>
    <row r="9" spans="1:14" x14ac:dyDescent="0.3">
      <c r="A9" s="2">
        <v>45293</v>
      </c>
      <c r="B9" s="3">
        <v>3</v>
      </c>
      <c r="C9" s="3">
        <v>1</v>
      </c>
      <c r="D9" s="3">
        <v>85</v>
      </c>
      <c r="E9" s="3">
        <v>1800</v>
      </c>
      <c r="F9" s="3">
        <v>40</v>
      </c>
      <c r="G9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9" s="3">
        <f>Tableau2[[#This Row],[Vitesse de production réelle (unités/heure)]]/vitesseTheorique</f>
        <v>0.85</v>
      </c>
      <c r="I9" s="4">
        <f>(Tableau2[[#This Row],[Nombre total d''unités produites]]-Tableau2[[#This Row],[Nombre d''unités défectueuses]])/Tableau2[[#This Row],[Nombre total d''unités produites]]</f>
        <v>0.97777777777777775</v>
      </c>
      <c r="J9" s="4">
        <f>Tableau2[[#This Row],[Disponibilité]]*Tableau2[[#This Row],[Performance]]*Tableau2[[#This Row],[Qualité]]</f>
        <v>0.79153439153439142</v>
      </c>
      <c r="L9" s="9" t="s">
        <v>13</v>
      </c>
      <c r="M9" s="9"/>
      <c r="N9" s="5" t="s">
        <v>15</v>
      </c>
    </row>
    <row r="10" spans="1:14" x14ac:dyDescent="0.3">
      <c r="A10" s="2">
        <v>45294</v>
      </c>
      <c r="B10" s="3">
        <v>3</v>
      </c>
      <c r="C10" s="3">
        <v>3</v>
      </c>
      <c r="D10" s="3">
        <v>95</v>
      </c>
      <c r="E10" s="3">
        <v>2200</v>
      </c>
      <c r="F10" s="3">
        <v>30</v>
      </c>
      <c r="G10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10" s="3">
        <f>Tableau2[[#This Row],[Vitesse de production réelle (unités/heure)]]/vitesseTheorique</f>
        <v>0.95</v>
      </c>
      <c r="I10" s="4">
        <f>(Tableau2[[#This Row],[Nombre total d''unités produites]]-Tableau2[[#This Row],[Nombre d''unités défectueuses]])/Tableau2[[#This Row],[Nombre total d''unités produites]]</f>
        <v>0.98636363636363633</v>
      </c>
      <c r="J10" s="4">
        <f>Tableau2[[#This Row],[Disponibilité]]*Tableau2[[#This Row],[Performance]]*Tableau2[[#This Row],[Qualité]]</f>
        <v>0.803181818181818</v>
      </c>
      <c r="L10" s="9" t="s">
        <v>12</v>
      </c>
      <c r="M10" s="9"/>
      <c r="N10" s="5" t="s">
        <v>14</v>
      </c>
    </row>
    <row r="11" spans="1:14" x14ac:dyDescent="0.3">
      <c r="A11" s="2">
        <v>45295</v>
      </c>
      <c r="B11" s="3">
        <v>1</v>
      </c>
      <c r="C11" s="3">
        <v>2</v>
      </c>
      <c r="D11">
        <v>94</v>
      </c>
      <c r="E11">
        <v>1702</v>
      </c>
      <c r="F11">
        <v>57</v>
      </c>
      <c r="G11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11" s="3">
        <f>Tableau2[[#This Row],[Vitesse de production réelle (unités/heure)]]/vitesseTheorique</f>
        <v>0.94</v>
      </c>
      <c r="I11" s="4">
        <f>(Tableau2[[#This Row],[Nombre total d''unités produites]]-Tableau2[[#This Row],[Nombre d''unités défectueuses]])/Tableau2[[#This Row],[Nombre total d''unités produites]]</f>
        <v>0.96650998824911871</v>
      </c>
      <c r="J11" s="4">
        <f>Tableau2[[#This Row],[Disponibilité]]*Tableau2[[#This Row],[Performance]]*Tableau2[[#This Row],[Qualité]]</f>
        <v>0.82951770295815663</v>
      </c>
      <c r="L11" s="9" t="s">
        <v>16</v>
      </c>
      <c r="M11" s="9"/>
      <c r="N11" s="5" t="s">
        <v>17</v>
      </c>
    </row>
    <row r="12" spans="1:14" x14ac:dyDescent="0.3">
      <c r="A12" s="2">
        <v>45296</v>
      </c>
      <c r="B12" s="3">
        <v>2</v>
      </c>
      <c r="C12" s="3">
        <v>2</v>
      </c>
      <c r="D12">
        <v>81</v>
      </c>
      <c r="E12">
        <v>1879</v>
      </c>
      <c r="F12">
        <v>31</v>
      </c>
      <c r="G12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12" s="3">
        <f>Tableau2[[#This Row],[Vitesse de production réelle (unités/heure)]]/vitesseTheorique</f>
        <v>0.81</v>
      </c>
      <c r="I12" s="4">
        <f>(Tableau2[[#This Row],[Nombre total d''unités produites]]-Tableau2[[#This Row],[Nombre d''unités défectueuses]])/Tableau2[[#This Row],[Nombre total d''unités produites]]</f>
        <v>0.98350186269292172</v>
      </c>
      <c r="J12" s="4">
        <f>Tableau2[[#This Row],[Disponibilité]]*Tableau2[[#This Row],[Performance]]*Tableau2[[#This Row],[Qualité]]</f>
        <v>0.72421500798296967</v>
      </c>
      <c r="L12" s="9" t="s">
        <v>18</v>
      </c>
      <c r="M12" s="9"/>
      <c r="N12" s="5" t="s">
        <v>19</v>
      </c>
    </row>
    <row r="13" spans="1:14" x14ac:dyDescent="0.3">
      <c r="A13" s="2">
        <v>45297</v>
      </c>
      <c r="B13" s="3">
        <v>1</v>
      </c>
      <c r="C13" s="3">
        <v>1</v>
      </c>
      <c r="D13">
        <v>80</v>
      </c>
      <c r="E13">
        <v>2037</v>
      </c>
      <c r="F13">
        <v>20</v>
      </c>
      <c r="G13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13" s="3">
        <f>Tableau2[[#This Row],[Vitesse de production réelle (unités/heure)]]/vitesseTheorique</f>
        <v>0.8</v>
      </c>
      <c r="I13" s="4">
        <f>(Tableau2[[#This Row],[Nombre total d''unités produites]]-Tableau2[[#This Row],[Nombre d''unités défectueuses]])/Tableau2[[#This Row],[Nombre total d''unités produites]]</f>
        <v>0.99018163966617578</v>
      </c>
      <c r="J13" s="4">
        <f>Tableau2[[#This Row],[Disponibilité]]*Tableau2[[#This Row],[Performance]]*Tableau2[[#This Row],[Qualité]]</f>
        <v>0.75770421122281284</v>
      </c>
    </row>
    <row r="14" spans="1:14" x14ac:dyDescent="0.3">
      <c r="A14" s="2">
        <v>45298</v>
      </c>
      <c r="B14" s="3">
        <v>1</v>
      </c>
      <c r="C14" s="3">
        <v>2</v>
      </c>
      <c r="D14">
        <v>89</v>
      </c>
      <c r="E14">
        <v>1881</v>
      </c>
      <c r="F14">
        <v>44</v>
      </c>
      <c r="G14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14" s="3">
        <f>Tableau2[[#This Row],[Vitesse de production réelle (unités/heure)]]/vitesseTheorique</f>
        <v>0.89</v>
      </c>
      <c r="I14" s="4">
        <f>(Tableau2[[#This Row],[Nombre total d''unités produites]]-Tableau2[[#This Row],[Nombre d''unités défectueuses]])/Tableau2[[#This Row],[Nombre total d''unités produites]]</f>
        <v>0.97660818713450293</v>
      </c>
      <c r="J14" s="4">
        <f>Tableau2[[#This Row],[Disponibilité]]*Tableau2[[#This Row],[Performance]]*Tableau2[[#This Row],[Qualité]]</f>
        <v>0.79360030511060253</v>
      </c>
    </row>
    <row r="15" spans="1:14" x14ac:dyDescent="0.3">
      <c r="A15" s="2">
        <v>45299</v>
      </c>
      <c r="B15" s="3">
        <v>3</v>
      </c>
      <c r="C15" s="3">
        <v>3</v>
      </c>
      <c r="D15">
        <v>82</v>
      </c>
      <c r="E15">
        <v>2096</v>
      </c>
      <c r="F15">
        <v>52</v>
      </c>
      <c r="G15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15" s="3">
        <f>Tableau2[[#This Row],[Vitesse de production réelle (unités/heure)]]/vitesseTheorique</f>
        <v>0.82</v>
      </c>
      <c r="I15" s="4">
        <f>(Tableau2[[#This Row],[Nombre total d''unités produites]]-Tableau2[[#This Row],[Nombre d''unités défectueuses]])/Tableau2[[#This Row],[Nombre total d''unités produites]]</f>
        <v>0.97519083969465647</v>
      </c>
      <c r="J15" s="4">
        <f>Tableau2[[#This Row],[Disponibilité]]*Tableau2[[#This Row],[Performance]]*Tableau2[[#This Row],[Qualité]]</f>
        <v>0.68541984732824413</v>
      </c>
    </row>
    <row r="16" spans="1:14" x14ac:dyDescent="0.3">
      <c r="A16" s="2">
        <v>45300</v>
      </c>
      <c r="B16" s="3">
        <v>2</v>
      </c>
      <c r="C16" s="3">
        <v>3</v>
      </c>
      <c r="D16">
        <v>88</v>
      </c>
      <c r="E16">
        <v>2065</v>
      </c>
      <c r="F16">
        <v>53</v>
      </c>
      <c r="G16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6" s="3">
        <f>Tableau2[[#This Row],[Vitesse de production réelle (unités/heure)]]/vitesseTheorique</f>
        <v>0.88</v>
      </c>
      <c r="I16" s="4">
        <f>(Tableau2[[#This Row],[Nombre total d''unités produites]]-Tableau2[[#This Row],[Nombre d''unités défectueuses]])/Tableau2[[#This Row],[Nombre total d''unités produites]]</f>
        <v>0.97433414043583533</v>
      </c>
      <c r="J16" s="4">
        <f>Tableau2[[#This Row],[Disponibilité]]*Tableau2[[#This Row],[Performance]]*Tableau2[[#This Row],[Qualité]]</f>
        <v>0.74049394673123481</v>
      </c>
    </row>
    <row r="17" spans="1:10" x14ac:dyDescent="0.3">
      <c r="A17" s="2">
        <v>45301</v>
      </c>
      <c r="B17" s="3">
        <v>1</v>
      </c>
      <c r="C17" s="3">
        <v>2</v>
      </c>
      <c r="D17">
        <v>90</v>
      </c>
      <c r="E17">
        <v>1961</v>
      </c>
      <c r="F17">
        <v>58</v>
      </c>
      <c r="G17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17" s="3">
        <f>Tableau2[[#This Row],[Vitesse de production réelle (unités/heure)]]/vitesseTheorique</f>
        <v>0.9</v>
      </c>
      <c r="I17" s="4">
        <f>(Tableau2[[#This Row],[Nombre total d''unités produites]]-Tableau2[[#This Row],[Nombre d''unités défectueuses]])/Tableau2[[#This Row],[Nombre total d''unités produites]]</f>
        <v>0.97042325344212133</v>
      </c>
      <c r="J17" s="4">
        <f>Tableau2[[#This Row],[Disponibilité]]*Tableau2[[#This Row],[Performance]]*Tableau2[[#This Row],[Qualité]]</f>
        <v>0.79743476043722139</v>
      </c>
    </row>
    <row r="18" spans="1:10" x14ac:dyDescent="0.3">
      <c r="A18" s="2">
        <v>45302</v>
      </c>
      <c r="B18" s="3">
        <v>3</v>
      </c>
      <c r="C18" s="3">
        <v>2</v>
      </c>
      <c r="D18">
        <v>90</v>
      </c>
      <c r="E18">
        <v>1913</v>
      </c>
      <c r="F18">
        <v>35</v>
      </c>
      <c r="G18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18" s="3">
        <f>Tableau2[[#This Row],[Vitesse de production réelle (unités/heure)]]/vitesseTheorique</f>
        <v>0.9</v>
      </c>
      <c r="I18" s="4">
        <f>(Tableau2[[#This Row],[Nombre total d''unités produites]]-Tableau2[[#This Row],[Nombre d''unités défectueuses]])/Tableau2[[#This Row],[Nombre total d''unités produites]]</f>
        <v>0.98170412963930997</v>
      </c>
      <c r="J18" s="4">
        <f>Tableau2[[#This Row],[Disponibilité]]*Tableau2[[#This Row],[Performance]]*Tableau2[[#This Row],[Qualité]]</f>
        <v>0.79938764842058097</v>
      </c>
    </row>
    <row r="19" spans="1:10" x14ac:dyDescent="0.3">
      <c r="A19" s="2">
        <v>45303</v>
      </c>
      <c r="B19" s="3">
        <v>1</v>
      </c>
      <c r="C19" s="3">
        <v>1</v>
      </c>
      <c r="D19">
        <v>89</v>
      </c>
      <c r="E19">
        <v>2239</v>
      </c>
      <c r="F19">
        <v>39</v>
      </c>
      <c r="G19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19" s="3">
        <f>Tableau2[[#This Row],[Vitesse de production réelle (unités/heure)]]/vitesseTheorique</f>
        <v>0.89</v>
      </c>
      <c r="I19" s="4">
        <f>(Tableau2[[#This Row],[Nombre total d''unités produites]]-Tableau2[[#This Row],[Nombre d''unités défectueuses]])/Tableau2[[#This Row],[Nombre total d''unités produites]]</f>
        <v>0.98258150960250112</v>
      </c>
      <c r="J19" s="4">
        <f>Tableau2[[#This Row],[Disponibilité]]*Tableau2[[#This Row],[Performance]]*Tableau2[[#This Row],[Qualité]]</f>
        <v>0.83647591121812925</v>
      </c>
    </row>
    <row r="20" spans="1:10" x14ac:dyDescent="0.3">
      <c r="A20" s="2">
        <v>45304</v>
      </c>
      <c r="B20" s="3">
        <v>2</v>
      </c>
      <c r="C20" s="3">
        <v>3</v>
      </c>
      <c r="D20">
        <v>85</v>
      </c>
      <c r="E20">
        <v>1963</v>
      </c>
      <c r="F20">
        <v>28</v>
      </c>
      <c r="G20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0" s="3">
        <f>Tableau2[[#This Row],[Vitesse de production réelle (unités/heure)]]/vitesseTheorique</f>
        <v>0.85</v>
      </c>
      <c r="I20" s="4">
        <f>(Tableau2[[#This Row],[Nombre total d''unités produites]]-Tableau2[[#This Row],[Nombre d''unités défectueuses]])/Tableau2[[#This Row],[Nombre total d''unités produites]]</f>
        <v>0.98573611818644935</v>
      </c>
      <c r="J20" s="4">
        <f>Tableau2[[#This Row],[Disponibilité]]*Tableau2[[#This Row],[Performance]]*Tableau2[[#This Row],[Qualité]]</f>
        <v>0.72361992312323442</v>
      </c>
    </row>
    <row r="21" spans="1:10" x14ac:dyDescent="0.3">
      <c r="A21" s="2">
        <v>45305</v>
      </c>
      <c r="B21" s="3">
        <v>1</v>
      </c>
      <c r="C21" s="3">
        <v>1</v>
      </c>
      <c r="D21">
        <v>95</v>
      </c>
      <c r="E21">
        <v>2030</v>
      </c>
      <c r="F21">
        <v>44</v>
      </c>
      <c r="G21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21" s="3">
        <f>Tableau2[[#This Row],[Vitesse de production réelle (unités/heure)]]/vitesseTheorique</f>
        <v>0.95</v>
      </c>
      <c r="I21" s="4">
        <f>(Tableau2[[#This Row],[Nombre total d''unités produites]]-Tableau2[[#This Row],[Nombre d''unités défectueuses]])/Tableau2[[#This Row],[Nombre total d''unités produites]]</f>
        <v>0.97832512315270936</v>
      </c>
      <c r="J21" s="4">
        <f>Tableau2[[#This Row],[Disponibilité]]*Tableau2[[#This Row],[Performance]]*Tableau2[[#This Row],[Qualité]]</f>
        <v>0.88899978582137495</v>
      </c>
    </row>
    <row r="22" spans="1:10" x14ac:dyDescent="0.3">
      <c r="A22" s="2">
        <v>45306</v>
      </c>
      <c r="B22" s="3">
        <v>1</v>
      </c>
      <c r="C22" s="3">
        <v>3</v>
      </c>
      <c r="D22">
        <v>94</v>
      </c>
      <c r="E22">
        <v>2267</v>
      </c>
      <c r="F22">
        <v>30</v>
      </c>
      <c r="G22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22" s="3">
        <f>Tableau2[[#This Row],[Vitesse de production réelle (unités/heure)]]/vitesseTheorique</f>
        <v>0.94</v>
      </c>
      <c r="I22" s="4">
        <f>(Tableau2[[#This Row],[Nombre total d''unités produites]]-Tableau2[[#This Row],[Nombre d''unités défectueuses]])/Tableau2[[#This Row],[Nombre total d''unités produites]]</f>
        <v>0.98676665196294666</v>
      </c>
      <c r="J22" s="4">
        <f>Tableau2[[#This Row],[Disponibilité]]*Tableau2[[#This Row],[Performance]]*Tableau2[[#This Row],[Qualité]]</f>
        <v>0.80657448073493021</v>
      </c>
    </row>
    <row r="23" spans="1:10" x14ac:dyDescent="0.3">
      <c r="A23" s="2">
        <v>45307</v>
      </c>
      <c r="B23" s="3">
        <v>2</v>
      </c>
      <c r="C23" s="3">
        <v>2</v>
      </c>
      <c r="D23">
        <v>83</v>
      </c>
      <c r="E23">
        <v>2161</v>
      </c>
      <c r="F23">
        <v>42</v>
      </c>
      <c r="G23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23" s="3">
        <f>Tableau2[[#This Row],[Vitesse de production réelle (unités/heure)]]/vitesseTheorique</f>
        <v>0.83</v>
      </c>
      <c r="I23" s="4">
        <f>(Tableau2[[#This Row],[Nombre total d''unités produites]]-Tableau2[[#This Row],[Nombre d''unités défectueuses]])/Tableau2[[#This Row],[Nombre total d''unités produites]]</f>
        <v>0.98056455344747806</v>
      </c>
      <c r="J23" s="4">
        <f>Tableau2[[#This Row],[Disponibilité]]*Tableau2[[#This Row],[Performance]]*Tableau2[[#This Row],[Qualité]]</f>
        <v>0.73988052669218796</v>
      </c>
    </row>
    <row r="24" spans="1:10" x14ac:dyDescent="0.3">
      <c r="A24" s="2">
        <v>45308</v>
      </c>
      <c r="B24" s="3">
        <v>2</v>
      </c>
      <c r="C24" s="3">
        <v>3</v>
      </c>
      <c r="D24">
        <v>96</v>
      </c>
      <c r="E24">
        <v>2126</v>
      </c>
      <c r="F24">
        <v>56</v>
      </c>
      <c r="G24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4" s="3">
        <f>Tableau2[[#This Row],[Vitesse de production réelle (unités/heure)]]/vitesseTheorique</f>
        <v>0.96</v>
      </c>
      <c r="I24" s="4">
        <f>(Tableau2[[#This Row],[Nombre total d''unités produites]]-Tableau2[[#This Row],[Nombre d''unités défectueuses]])/Tableau2[[#This Row],[Nombre total d''unités produites]]</f>
        <v>0.97365945437441204</v>
      </c>
      <c r="J24" s="4">
        <f>Tableau2[[#This Row],[Disponibilité]]*Tableau2[[#This Row],[Performance]]*Tableau2[[#This Row],[Qualité]]</f>
        <v>0.80725220217223981</v>
      </c>
    </row>
    <row r="25" spans="1:10" x14ac:dyDescent="0.3">
      <c r="A25" s="2">
        <v>45309</v>
      </c>
      <c r="B25" s="3">
        <v>2</v>
      </c>
      <c r="C25" s="3">
        <v>3</v>
      </c>
      <c r="D25">
        <v>87</v>
      </c>
      <c r="E25">
        <v>1926</v>
      </c>
      <c r="F25">
        <v>50</v>
      </c>
      <c r="G25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5" s="3">
        <f>Tableau2[[#This Row],[Vitesse de production réelle (unités/heure)]]/vitesseTheorique</f>
        <v>0.87</v>
      </c>
      <c r="I25" s="4">
        <f>(Tableau2[[#This Row],[Nombre total d''unités produites]]-Tableau2[[#This Row],[Nombre d''unités défectueuses]])/Tableau2[[#This Row],[Nombre total d''unités produites]]</f>
        <v>0.97403946002076847</v>
      </c>
      <c r="J25" s="4">
        <f>Tableau2[[#This Row],[Disponibilité]]*Tableau2[[#This Row],[Performance]]*Tableau2[[#This Row],[Qualité]]</f>
        <v>0.73185783064287735</v>
      </c>
    </row>
    <row r="26" spans="1:10" x14ac:dyDescent="0.3">
      <c r="A26" s="2">
        <v>45310</v>
      </c>
      <c r="B26" s="3">
        <v>2</v>
      </c>
      <c r="C26" s="3">
        <v>1</v>
      </c>
      <c r="D26">
        <v>83</v>
      </c>
      <c r="E26">
        <v>2231</v>
      </c>
      <c r="F26">
        <v>23</v>
      </c>
      <c r="G26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26" s="3">
        <f>Tableau2[[#This Row],[Vitesse de production réelle (unités/heure)]]/vitesseTheorique</f>
        <v>0.83</v>
      </c>
      <c r="I26" s="4">
        <f>(Tableau2[[#This Row],[Nombre total d''unités produites]]-Tableau2[[#This Row],[Nombre d''unités défectueuses]])/Tableau2[[#This Row],[Nombre total d''unités produites]]</f>
        <v>0.98969072164948457</v>
      </c>
      <c r="J26" s="4">
        <f>Tableau2[[#This Row],[Disponibilité]]*Tableau2[[#This Row],[Performance]]*Tableau2[[#This Row],[Qualité]]</f>
        <v>0.78410496719775069</v>
      </c>
    </row>
    <row r="27" spans="1:10" x14ac:dyDescent="0.3">
      <c r="A27" s="2">
        <v>45311</v>
      </c>
      <c r="B27" s="3">
        <v>1</v>
      </c>
      <c r="C27" s="3">
        <v>1</v>
      </c>
      <c r="D27">
        <v>97</v>
      </c>
      <c r="E27">
        <v>2122</v>
      </c>
      <c r="F27">
        <v>33</v>
      </c>
      <c r="G27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27" s="3">
        <f>Tableau2[[#This Row],[Vitesse de production réelle (unités/heure)]]/vitesseTheorique</f>
        <v>0.97</v>
      </c>
      <c r="I27" s="4">
        <f>(Tableau2[[#This Row],[Nombre total d''unités produites]]-Tableau2[[#This Row],[Nombre d''unités défectueuses]])/Tableau2[[#This Row],[Nombre total d''unités produites]]</f>
        <v>0.98444863336475019</v>
      </c>
      <c r="J27" s="4">
        <f>Tableau2[[#This Row],[Disponibilité]]*Tableau2[[#This Row],[Performance]]*Tableau2[[#This Row],[Qualité]]</f>
        <v>0.91339712330451162</v>
      </c>
    </row>
    <row r="28" spans="1:10" x14ac:dyDescent="0.3">
      <c r="A28" s="2">
        <v>45312</v>
      </c>
      <c r="B28" s="3">
        <v>1</v>
      </c>
      <c r="C28" s="3">
        <v>2</v>
      </c>
      <c r="D28">
        <v>99</v>
      </c>
      <c r="E28">
        <v>2212</v>
      </c>
      <c r="F28">
        <v>48</v>
      </c>
      <c r="G28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28" s="3">
        <f>Tableau2[[#This Row],[Vitesse de production réelle (unités/heure)]]/vitesseTheorique</f>
        <v>0.99</v>
      </c>
      <c r="I28" s="4">
        <f>(Tableau2[[#This Row],[Nombre total d''unités produites]]-Tableau2[[#This Row],[Nombre d''unités défectueuses]])/Tableau2[[#This Row],[Nombre total d''unités produites]]</f>
        <v>0.97830018083182635</v>
      </c>
      <c r="J28" s="4">
        <f>Tableau2[[#This Row],[Disponibilité]]*Tableau2[[#This Row],[Performance]]*Tableau2[[#This Row],[Qualité]]</f>
        <v>0.8842982938910291</v>
      </c>
    </row>
    <row r="29" spans="1:10" x14ac:dyDescent="0.3">
      <c r="A29" s="2">
        <v>45313</v>
      </c>
      <c r="B29" s="3">
        <v>2</v>
      </c>
      <c r="C29" s="3">
        <v>1</v>
      </c>
      <c r="D29">
        <v>83</v>
      </c>
      <c r="E29">
        <v>1787</v>
      </c>
      <c r="F29">
        <v>55</v>
      </c>
      <c r="G29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29" s="3">
        <f>Tableau2[[#This Row],[Vitesse de production réelle (unités/heure)]]/vitesseTheorique</f>
        <v>0.83</v>
      </c>
      <c r="I29" s="4">
        <f>(Tableau2[[#This Row],[Nombre total d''unités produites]]-Tableau2[[#This Row],[Nombre d''unités défectueuses]])/Tableau2[[#This Row],[Nombre total d''unités produites]]</f>
        <v>0.9692221600447678</v>
      </c>
      <c r="J29" s="4">
        <f>Tableau2[[#This Row],[Disponibilité]]*Tableau2[[#This Row],[Performance]]*Tableau2[[#This Row],[Qualité]]</f>
        <v>0.76788828407183196</v>
      </c>
    </row>
    <row r="30" spans="1:10" x14ac:dyDescent="0.3">
      <c r="A30" s="2">
        <v>45314</v>
      </c>
      <c r="B30" s="3">
        <v>1</v>
      </c>
      <c r="C30" s="3">
        <v>2</v>
      </c>
      <c r="D30">
        <v>91</v>
      </c>
      <c r="E30">
        <v>1776</v>
      </c>
      <c r="F30">
        <v>31</v>
      </c>
      <c r="G30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30" s="3">
        <f>Tableau2[[#This Row],[Vitesse de production réelle (unités/heure)]]/vitesseTheorique</f>
        <v>0.91</v>
      </c>
      <c r="I30" s="4">
        <f>(Tableau2[[#This Row],[Nombre total d''unités produites]]-Tableau2[[#This Row],[Nombre d''unités défectueuses]])/Tableau2[[#This Row],[Nombre total d''unités produites]]</f>
        <v>0.98254504504504503</v>
      </c>
      <c r="J30" s="4">
        <f>Tableau2[[#This Row],[Disponibilité]]*Tableau2[[#This Row],[Performance]]*Tableau2[[#This Row],[Qualité]]</f>
        <v>0.8163667743830787</v>
      </c>
    </row>
    <row r="31" spans="1:10" x14ac:dyDescent="0.3">
      <c r="A31" s="2">
        <v>45315</v>
      </c>
      <c r="B31" s="3">
        <v>1</v>
      </c>
      <c r="C31" s="3">
        <v>2</v>
      </c>
      <c r="D31">
        <v>93</v>
      </c>
      <c r="E31">
        <v>2212</v>
      </c>
      <c r="F31">
        <v>51</v>
      </c>
      <c r="G31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31" s="3">
        <f>Tableau2[[#This Row],[Vitesse de production réelle (unités/heure)]]/vitesseTheorique</f>
        <v>0.93</v>
      </c>
      <c r="I31" s="4">
        <f>(Tableau2[[#This Row],[Nombre total d''unités produites]]-Tableau2[[#This Row],[Nombre d''unités défectueuses]])/Tableau2[[#This Row],[Nombre total d''unités produites]]</f>
        <v>0.97694394213381552</v>
      </c>
      <c r="J31" s="4">
        <f>Tableau2[[#This Row],[Disponibilité]]*Tableau2[[#This Row],[Performance]]*Tableau2[[#This Row],[Qualité]]</f>
        <v>0.82955283434232252</v>
      </c>
    </row>
    <row r="32" spans="1:10" x14ac:dyDescent="0.3">
      <c r="A32" s="2">
        <v>45316</v>
      </c>
      <c r="B32" s="3">
        <v>3</v>
      </c>
      <c r="C32" s="3">
        <v>3</v>
      </c>
      <c r="D32">
        <v>90</v>
      </c>
      <c r="E32">
        <v>2269</v>
      </c>
      <c r="F32">
        <v>49</v>
      </c>
      <c r="G32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32" s="3">
        <f>Tableau2[[#This Row],[Vitesse de production réelle (unités/heure)]]/vitesseTheorique</f>
        <v>0.9</v>
      </c>
      <c r="I32" s="4">
        <f>(Tableau2[[#This Row],[Nombre total d''unités produites]]-Tableau2[[#This Row],[Nombre d''unités défectueuses]])/Tableau2[[#This Row],[Nombre total d''unités produites]]</f>
        <v>0.9784045835169678</v>
      </c>
      <c r="J32" s="4">
        <f>Tableau2[[#This Row],[Disponibilité]]*Tableau2[[#This Row],[Performance]]*Tableau2[[#This Row],[Qualité]]</f>
        <v>0.75476925014166085</v>
      </c>
    </row>
    <row r="33" spans="1:10" x14ac:dyDescent="0.3">
      <c r="A33" s="2">
        <v>45317</v>
      </c>
      <c r="B33" s="3">
        <v>3</v>
      </c>
      <c r="C33" s="3">
        <v>1</v>
      </c>
      <c r="D33">
        <v>96</v>
      </c>
      <c r="E33">
        <v>2095</v>
      </c>
      <c r="F33">
        <v>27</v>
      </c>
      <c r="G33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3" s="3">
        <f>Tableau2[[#This Row],[Vitesse de production réelle (unités/heure)]]/vitesseTheorique</f>
        <v>0.96</v>
      </c>
      <c r="I33" s="4">
        <f>(Tableau2[[#This Row],[Nombre total d''unités produites]]-Tableau2[[#This Row],[Nombre d''unités défectueuses]])/Tableau2[[#This Row],[Nombre total d''unités produites]]</f>
        <v>0.98711217183770883</v>
      </c>
      <c r="J33" s="4">
        <f>Tableau2[[#This Row],[Disponibilité]]*Tableau2[[#This Row],[Performance]]*Tableau2[[#This Row],[Qualité]]</f>
        <v>0.90250255710876226</v>
      </c>
    </row>
    <row r="34" spans="1:10" x14ac:dyDescent="0.3">
      <c r="A34" s="2">
        <v>45318</v>
      </c>
      <c r="B34" s="3">
        <v>2</v>
      </c>
      <c r="C34" s="3">
        <v>2</v>
      </c>
      <c r="D34">
        <v>97</v>
      </c>
      <c r="E34">
        <v>2276</v>
      </c>
      <c r="F34">
        <v>23</v>
      </c>
      <c r="G34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34" s="3">
        <f>Tableau2[[#This Row],[Vitesse de production réelle (unités/heure)]]/vitesseTheorique</f>
        <v>0.97</v>
      </c>
      <c r="I34" s="4">
        <f>(Tableau2[[#This Row],[Nombre total d''unités produites]]-Tableau2[[#This Row],[Nombre d''unités défectueuses]])/Tableau2[[#This Row],[Nombre total d''unités produites]]</f>
        <v>0.9898945518453427</v>
      </c>
      <c r="J34" s="4">
        <f>Tableau2[[#This Row],[Disponibilité]]*Tableau2[[#This Row],[Performance]]*Tableau2[[#This Row],[Qualité]]</f>
        <v>0.87290701389998393</v>
      </c>
    </row>
    <row r="35" spans="1:10" x14ac:dyDescent="0.3">
      <c r="A35" s="2">
        <v>45319</v>
      </c>
      <c r="B35" s="3">
        <v>3</v>
      </c>
      <c r="C35" s="3">
        <v>1</v>
      </c>
      <c r="D35">
        <v>91</v>
      </c>
      <c r="E35">
        <v>1978</v>
      </c>
      <c r="F35">
        <v>34</v>
      </c>
      <c r="G35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5" s="3">
        <f>Tableau2[[#This Row],[Vitesse de production réelle (unités/heure)]]/vitesseTheorique</f>
        <v>0.91</v>
      </c>
      <c r="I35" s="4">
        <f>(Tableau2[[#This Row],[Nombre total d''unités produites]]-Tableau2[[#This Row],[Nombre d''unités défectueuses]])/Tableau2[[#This Row],[Nombre total d''unités produites]]</f>
        <v>0.98281092012133464</v>
      </c>
      <c r="J35" s="4">
        <f>Tableau2[[#This Row],[Disponibilité]]*Tableau2[[#This Row],[Performance]]*Tableau2[[#This Row],[Qualité]]</f>
        <v>0.85176946410515675</v>
      </c>
    </row>
    <row r="36" spans="1:10" x14ac:dyDescent="0.3">
      <c r="A36" s="2">
        <v>45320</v>
      </c>
      <c r="B36" s="3">
        <v>3</v>
      </c>
      <c r="C36" s="3">
        <v>1</v>
      </c>
      <c r="D36">
        <v>86</v>
      </c>
      <c r="E36">
        <v>1984</v>
      </c>
      <c r="F36">
        <v>27</v>
      </c>
      <c r="G36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6" s="3">
        <f>Tableau2[[#This Row],[Vitesse de production réelle (unités/heure)]]/vitesseTheorique</f>
        <v>0.86</v>
      </c>
      <c r="I36" s="4">
        <f>(Tableau2[[#This Row],[Nombre total d''unités produites]]-Tableau2[[#This Row],[Nombre d''unités défectueuses]])/Tableau2[[#This Row],[Nombre total d''unités produites]]</f>
        <v>0.98639112903225812</v>
      </c>
      <c r="J36" s="4">
        <f>Tableau2[[#This Row],[Disponibilité]]*Tableau2[[#This Row],[Performance]]*Tableau2[[#This Row],[Qualité]]</f>
        <v>0.80790130568356378</v>
      </c>
    </row>
    <row r="37" spans="1:10" x14ac:dyDescent="0.3">
      <c r="A37" s="2">
        <v>45321</v>
      </c>
      <c r="B37" s="3">
        <v>2</v>
      </c>
      <c r="C37" s="3">
        <v>1</v>
      </c>
      <c r="D37">
        <v>93</v>
      </c>
      <c r="E37">
        <v>1919</v>
      </c>
      <c r="F37">
        <v>59</v>
      </c>
      <c r="G37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37" s="3">
        <f>Tableau2[[#This Row],[Vitesse de production réelle (unités/heure)]]/vitesseTheorique</f>
        <v>0.93</v>
      </c>
      <c r="I37" s="4">
        <f>(Tableau2[[#This Row],[Nombre total d''unités produites]]-Tableau2[[#This Row],[Nombre d''unités défectueuses]])/Tableau2[[#This Row],[Nombre total d''unités produites]]</f>
        <v>0.969254820218864</v>
      </c>
      <c r="J37" s="4">
        <f>Tableau2[[#This Row],[Disponibilité]]*Tableau2[[#This Row],[Performance]]*Tableau2[[#This Row],[Qualité]]</f>
        <v>0.86043393813065527</v>
      </c>
    </row>
    <row r="38" spans="1:10" x14ac:dyDescent="0.3">
      <c r="A38" s="2">
        <v>45322</v>
      </c>
      <c r="B38" s="3">
        <v>3</v>
      </c>
      <c r="C38" s="3">
        <v>2</v>
      </c>
      <c r="D38">
        <v>82</v>
      </c>
      <c r="E38">
        <v>1829</v>
      </c>
      <c r="F38">
        <v>49</v>
      </c>
      <c r="G38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38" s="3">
        <f>Tableau2[[#This Row],[Vitesse de production réelle (unités/heure)]]/vitesseTheorique</f>
        <v>0.82</v>
      </c>
      <c r="I38" s="4">
        <f>(Tableau2[[#This Row],[Nombre total d''unités produites]]-Tableau2[[#This Row],[Nombre d''unités défectueuses]])/Tableau2[[#This Row],[Nombre total d''unités produites]]</f>
        <v>0.97320940404592671</v>
      </c>
      <c r="J38" s="4">
        <f>Tableau2[[#This Row],[Disponibilité]]*Tableau2[[#This Row],[Performance]]*Tableau2[[#This Row],[Qualité]]</f>
        <v>0.72202869119216839</v>
      </c>
    </row>
    <row r="39" spans="1:10" x14ac:dyDescent="0.3">
      <c r="A39" s="2">
        <v>45323</v>
      </c>
      <c r="B39" s="3">
        <v>1</v>
      </c>
      <c r="C39" s="3">
        <v>3</v>
      </c>
      <c r="D39">
        <v>100</v>
      </c>
      <c r="E39">
        <v>2005</v>
      </c>
      <c r="F39">
        <v>53</v>
      </c>
      <c r="G39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39" s="3">
        <f>Tableau2[[#This Row],[Vitesse de production réelle (unités/heure)]]/vitesseTheorique</f>
        <v>1</v>
      </c>
      <c r="I39" s="4">
        <f>(Tableau2[[#This Row],[Nombre total d''unités produites]]-Tableau2[[#This Row],[Nombre d''unités défectueuses]])/Tableau2[[#This Row],[Nombre total d''unités produites]]</f>
        <v>0.97356608478802997</v>
      </c>
      <c r="J39" s="4">
        <f>Tableau2[[#This Row],[Disponibilité]]*Tableau2[[#This Row],[Performance]]*Tableau2[[#This Row],[Qualité]]</f>
        <v>0.8465792041635043</v>
      </c>
    </row>
    <row r="40" spans="1:10" x14ac:dyDescent="0.3">
      <c r="A40" s="2">
        <v>45324</v>
      </c>
      <c r="B40" s="3">
        <v>1</v>
      </c>
      <c r="C40" s="3">
        <v>2</v>
      </c>
      <c r="D40">
        <v>89</v>
      </c>
      <c r="E40">
        <v>2211</v>
      </c>
      <c r="F40">
        <v>47</v>
      </c>
      <c r="G40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40" s="3">
        <f>Tableau2[[#This Row],[Vitesse de production réelle (unités/heure)]]/vitesseTheorique</f>
        <v>0.89</v>
      </c>
      <c r="I40" s="4">
        <f>(Tableau2[[#This Row],[Nombre total d''unités produites]]-Tableau2[[#This Row],[Nombre d''unités défectueuses]])/Tableau2[[#This Row],[Nombre total d''unités produites]]</f>
        <v>0.97874265038444141</v>
      </c>
      <c r="J40" s="4">
        <f>Tableau2[[#This Row],[Disponibilité]]*Tableau2[[#This Row],[Performance]]*Tableau2[[#This Row],[Qualité]]</f>
        <v>0.79533478850805261</v>
      </c>
    </row>
    <row r="41" spans="1:10" x14ac:dyDescent="0.3">
      <c r="A41" s="2">
        <v>45325</v>
      </c>
      <c r="B41" s="3">
        <v>1</v>
      </c>
      <c r="C41" s="3">
        <v>2</v>
      </c>
      <c r="D41">
        <v>88</v>
      </c>
      <c r="E41">
        <v>2276</v>
      </c>
      <c r="F41">
        <v>32</v>
      </c>
      <c r="G41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41" s="3">
        <f>Tableau2[[#This Row],[Vitesse de production réelle (unités/heure)]]/vitesseTheorique</f>
        <v>0.88</v>
      </c>
      <c r="I41" s="4">
        <f>(Tableau2[[#This Row],[Nombre total d''unités produites]]-Tableau2[[#This Row],[Nombre d''unités défectueuses]])/Tableau2[[#This Row],[Nombre total d''unités produites]]</f>
        <v>0.98594024604569419</v>
      </c>
      <c r="J41" s="4">
        <f>Tableau2[[#This Row],[Disponibilité]]*Tableau2[[#This Row],[Performance]]*Tableau2[[#This Row],[Qualité]]</f>
        <v>0.79218155421410552</v>
      </c>
    </row>
    <row r="42" spans="1:10" x14ac:dyDescent="0.3">
      <c r="A42" s="2">
        <v>45326</v>
      </c>
      <c r="B42" s="3">
        <v>3</v>
      </c>
      <c r="C42" s="3">
        <v>1</v>
      </c>
      <c r="D42">
        <v>92</v>
      </c>
      <c r="E42">
        <v>1716</v>
      </c>
      <c r="F42">
        <v>24</v>
      </c>
      <c r="G42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42" s="3">
        <f>Tableau2[[#This Row],[Vitesse de production réelle (unités/heure)]]/vitesseTheorique</f>
        <v>0.92</v>
      </c>
      <c r="I42" s="4">
        <f>(Tableau2[[#This Row],[Nombre total d''unités produites]]-Tableau2[[#This Row],[Nombre d''unités défectueuses]])/Tableau2[[#This Row],[Nombre total d''unités produites]]</f>
        <v>0.98601398601398604</v>
      </c>
      <c r="J42" s="4">
        <f>Tableau2[[#This Row],[Disponibilité]]*Tableau2[[#This Row],[Performance]]*Tableau2[[#This Row],[Qualité]]</f>
        <v>0.86393606393606392</v>
      </c>
    </row>
    <row r="43" spans="1:10" x14ac:dyDescent="0.3">
      <c r="A43" s="2">
        <v>45327</v>
      </c>
      <c r="B43" s="3">
        <v>3</v>
      </c>
      <c r="C43" s="3">
        <v>3</v>
      </c>
      <c r="D43">
        <v>81</v>
      </c>
      <c r="E43">
        <v>1840</v>
      </c>
      <c r="F43">
        <v>45</v>
      </c>
      <c r="G43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43" s="3">
        <f>Tableau2[[#This Row],[Vitesse de production réelle (unités/heure)]]/vitesseTheorique</f>
        <v>0.81</v>
      </c>
      <c r="I43" s="4">
        <f>(Tableau2[[#This Row],[Nombre total d''unités produites]]-Tableau2[[#This Row],[Nombre d''unités défectueuses]])/Tableau2[[#This Row],[Nombre total d''unités produites]]</f>
        <v>0.97554347826086951</v>
      </c>
      <c r="J43" s="4">
        <f>Tableau2[[#This Row],[Disponibilité]]*Tableau2[[#This Row],[Performance]]*Tableau2[[#This Row],[Qualité]]</f>
        <v>0.67730590062111795</v>
      </c>
    </row>
    <row r="44" spans="1:10" x14ac:dyDescent="0.3">
      <c r="A44" s="2">
        <v>45328</v>
      </c>
      <c r="B44" s="3">
        <v>2</v>
      </c>
      <c r="C44" s="3">
        <v>1</v>
      </c>
      <c r="D44">
        <v>87</v>
      </c>
      <c r="E44">
        <v>1776</v>
      </c>
      <c r="F44">
        <v>28</v>
      </c>
      <c r="G44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44" s="3">
        <f>Tableau2[[#This Row],[Vitesse de production réelle (unités/heure)]]/vitesseTheorique</f>
        <v>0.87</v>
      </c>
      <c r="I44" s="4">
        <f>(Tableau2[[#This Row],[Nombre total d''unités produites]]-Tableau2[[#This Row],[Nombre d''unités défectueuses]])/Tableau2[[#This Row],[Nombre total d''unités produites]]</f>
        <v>0.98423423423423428</v>
      </c>
      <c r="J44" s="4">
        <f>Tableau2[[#This Row],[Disponibilité]]*Tableau2[[#This Row],[Performance]]*Tableau2[[#This Row],[Qualité]]</f>
        <v>0.81736179361179362</v>
      </c>
    </row>
    <row r="45" spans="1:10" x14ac:dyDescent="0.3">
      <c r="A45" s="2">
        <v>45329</v>
      </c>
      <c r="B45" s="3">
        <v>3</v>
      </c>
      <c r="C45" s="3">
        <v>2</v>
      </c>
      <c r="D45">
        <v>96</v>
      </c>
      <c r="E45">
        <v>1868</v>
      </c>
      <c r="F45">
        <v>40</v>
      </c>
      <c r="G45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45" s="3">
        <f>Tableau2[[#This Row],[Vitesse de production réelle (unités/heure)]]/vitesseTheorique</f>
        <v>0.96</v>
      </c>
      <c r="I45" s="4">
        <f>(Tableau2[[#This Row],[Nombre total d''unités produites]]-Tableau2[[#This Row],[Nombre d''unités défectueuses]])/Tableau2[[#This Row],[Nombre total d''unités produites]]</f>
        <v>0.97858672376873657</v>
      </c>
      <c r="J45" s="4">
        <f>Tableau2[[#This Row],[Disponibilité]]*Tableau2[[#This Row],[Performance]]*Tableau2[[#This Row],[Qualité]]</f>
        <v>0.84997246864484544</v>
      </c>
    </row>
    <row r="46" spans="1:10" x14ac:dyDescent="0.3">
      <c r="A46" s="2">
        <v>45330</v>
      </c>
      <c r="B46" s="3">
        <v>2</v>
      </c>
      <c r="C46" s="3">
        <v>1</v>
      </c>
      <c r="D46">
        <v>94</v>
      </c>
      <c r="E46">
        <v>1796</v>
      </c>
      <c r="F46">
        <v>26</v>
      </c>
      <c r="G46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46" s="3">
        <f>Tableau2[[#This Row],[Vitesse de production réelle (unités/heure)]]/vitesseTheorique</f>
        <v>0.94</v>
      </c>
      <c r="I46" s="4">
        <f>(Tableau2[[#This Row],[Nombre total d''unités produites]]-Tableau2[[#This Row],[Nombre d''unités défectueuses]])/Tableau2[[#This Row],[Nombre total d''unités produites]]</f>
        <v>0.98552338530066819</v>
      </c>
      <c r="J46" s="4">
        <f>Tableau2[[#This Row],[Disponibilité]]*Tableau2[[#This Row],[Performance]]*Tableau2[[#This Row],[Qualité]]</f>
        <v>0.88428325571978128</v>
      </c>
    </row>
    <row r="47" spans="1:10" x14ac:dyDescent="0.3">
      <c r="A47" s="2">
        <v>45331</v>
      </c>
      <c r="B47" s="3">
        <v>1</v>
      </c>
      <c r="C47" s="3">
        <v>2</v>
      </c>
      <c r="D47">
        <v>95</v>
      </c>
      <c r="E47">
        <v>2195</v>
      </c>
      <c r="F47">
        <v>39</v>
      </c>
      <c r="G47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47" s="3">
        <f>Tableau2[[#This Row],[Vitesse de production réelle (unités/heure)]]/vitesseTheorique</f>
        <v>0.95</v>
      </c>
      <c r="I47" s="4">
        <f>(Tableau2[[#This Row],[Nombre total d''unités produites]]-Tableau2[[#This Row],[Nombre d''unités défectueuses]])/Tableau2[[#This Row],[Nombre total d''unités produites]]</f>
        <v>0.98223234624145783</v>
      </c>
      <c r="J47" s="4">
        <f>Tableau2[[#This Row],[Disponibilité]]*Tableau2[[#This Row],[Performance]]*Tableau2[[#This Row],[Qualité]]</f>
        <v>0.85197979597900353</v>
      </c>
    </row>
    <row r="48" spans="1:10" x14ac:dyDescent="0.3">
      <c r="A48" s="2">
        <v>45332</v>
      </c>
      <c r="B48" s="3">
        <v>3</v>
      </c>
      <c r="C48" s="3">
        <v>1</v>
      </c>
      <c r="D48">
        <v>90</v>
      </c>
      <c r="E48">
        <v>1752</v>
      </c>
      <c r="F48">
        <v>56</v>
      </c>
      <c r="G48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48" s="3">
        <f>Tableau2[[#This Row],[Vitesse de production réelle (unités/heure)]]/vitesseTheorique</f>
        <v>0.9</v>
      </c>
      <c r="I48" s="4">
        <f>(Tableau2[[#This Row],[Nombre total d''unités produites]]-Tableau2[[#This Row],[Nombre d''unités défectueuses]])/Tableau2[[#This Row],[Nombre total d''unités produites]]</f>
        <v>0.96803652968036524</v>
      </c>
      <c r="J48" s="4">
        <f>Tableau2[[#This Row],[Disponibilité]]*Tableau2[[#This Row],[Performance]]*Tableau2[[#This Row],[Qualité]]</f>
        <v>0.82974559686888449</v>
      </c>
    </row>
    <row r="49" spans="1:10" x14ac:dyDescent="0.3">
      <c r="A49" s="2">
        <v>45333</v>
      </c>
      <c r="B49" s="3">
        <v>1</v>
      </c>
      <c r="C49" s="3">
        <v>2</v>
      </c>
      <c r="D49">
        <v>88</v>
      </c>
      <c r="E49">
        <v>2206</v>
      </c>
      <c r="F49">
        <v>33</v>
      </c>
      <c r="G49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49" s="3">
        <f>Tableau2[[#This Row],[Vitesse de production réelle (unités/heure)]]/vitesseTheorique</f>
        <v>0.88</v>
      </c>
      <c r="I49" s="4">
        <f>(Tableau2[[#This Row],[Nombre total d''unités produites]]-Tableau2[[#This Row],[Nombre d''unités défectueuses]])/Tableau2[[#This Row],[Nombre total d''unités produites]]</f>
        <v>0.98504079782411602</v>
      </c>
      <c r="J49" s="4">
        <f>Tableau2[[#This Row],[Disponibilité]]*Tableau2[[#This Row],[Performance]]*Tableau2[[#This Row],[Qualité]]</f>
        <v>0.79145886712128977</v>
      </c>
    </row>
    <row r="50" spans="1:10" x14ac:dyDescent="0.3">
      <c r="A50" s="2">
        <v>45334</v>
      </c>
      <c r="B50" s="3">
        <v>3</v>
      </c>
      <c r="C50" s="3">
        <v>1</v>
      </c>
      <c r="D50">
        <v>93</v>
      </c>
      <c r="E50">
        <v>2129</v>
      </c>
      <c r="F50">
        <v>36</v>
      </c>
      <c r="G50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50" s="3">
        <f>Tableau2[[#This Row],[Vitesse de production réelle (unités/heure)]]/vitesseTheorique</f>
        <v>0.93</v>
      </c>
      <c r="I50" s="4">
        <f>(Tableau2[[#This Row],[Nombre total d''unités produites]]-Tableau2[[#This Row],[Nombre d''unités défectueuses]])/Tableau2[[#This Row],[Nombre total d''unités produites]]</f>
        <v>0.98309065288868014</v>
      </c>
      <c r="J50" s="4">
        <f>Tableau2[[#This Row],[Disponibilité]]*Tableau2[[#This Row],[Performance]]*Tableau2[[#This Row],[Qualité]]</f>
        <v>0.87073743541568804</v>
      </c>
    </row>
    <row r="51" spans="1:10" x14ac:dyDescent="0.3">
      <c r="A51" s="2">
        <v>45335</v>
      </c>
      <c r="B51" s="3">
        <v>2</v>
      </c>
      <c r="C51" s="3">
        <v>3</v>
      </c>
      <c r="D51">
        <v>92</v>
      </c>
      <c r="E51">
        <v>1946</v>
      </c>
      <c r="F51">
        <v>54</v>
      </c>
      <c r="G51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51" s="3">
        <f>Tableau2[[#This Row],[Vitesse de production réelle (unités/heure)]]/vitesseTheorique</f>
        <v>0.92</v>
      </c>
      <c r="I51" s="4">
        <f>(Tableau2[[#This Row],[Nombre total d''unités produites]]-Tableau2[[#This Row],[Nombre d''unités défectueuses]])/Tableau2[[#This Row],[Nombre total d''unités produites]]</f>
        <v>0.9722507708119219</v>
      </c>
      <c r="J51" s="4">
        <f>Tableau2[[#This Row],[Disponibilité]]*Tableau2[[#This Row],[Performance]]*Tableau2[[#This Row],[Qualité]]</f>
        <v>0.772497430626927</v>
      </c>
    </row>
    <row r="52" spans="1:10" x14ac:dyDescent="0.3">
      <c r="A52" s="2">
        <v>45336</v>
      </c>
      <c r="B52" s="3">
        <v>1</v>
      </c>
      <c r="C52" s="3">
        <v>2</v>
      </c>
      <c r="D52">
        <v>91</v>
      </c>
      <c r="E52">
        <v>1707</v>
      </c>
      <c r="F52">
        <v>51</v>
      </c>
      <c r="G52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52" s="3">
        <f>Tableau2[[#This Row],[Vitesse de production réelle (unités/heure)]]/vitesseTheorique</f>
        <v>0.91</v>
      </c>
      <c r="I52" s="4">
        <f>(Tableau2[[#This Row],[Nombre total d''unités produites]]-Tableau2[[#This Row],[Nombre d''unités défectueuses]])/Tableau2[[#This Row],[Nombre total d''unités produites]]</f>
        <v>0.97012302284710017</v>
      </c>
      <c r="J52" s="4">
        <f>Tableau2[[#This Row],[Disponibilité]]*Tableau2[[#This Row],[Performance]]*Tableau2[[#This Row],[Qualité]]</f>
        <v>0.80604569420035144</v>
      </c>
    </row>
    <row r="53" spans="1:10" x14ac:dyDescent="0.3">
      <c r="A53" s="2">
        <v>45337</v>
      </c>
      <c r="B53" s="3">
        <v>1</v>
      </c>
      <c r="C53" s="3">
        <v>3</v>
      </c>
      <c r="D53">
        <v>99</v>
      </c>
      <c r="E53">
        <v>1718</v>
      </c>
      <c r="F53">
        <v>56</v>
      </c>
      <c r="G53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53" s="3">
        <f>Tableau2[[#This Row],[Vitesse de production réelle (unités/heure)]]/vitesseTheorique</f>
        <v>0.99</v>
      </c>
      <c r="I53" s="4">
        <f>(Tableau2[[#This Row],[Nombre total d''unités produites]]-Tableau2[[#This Row],[Nombre d''unités défectueuses]])/Tableau2[[#This Row],[Nombre total d''unités produites]]</f>
        <v>0.96740395809080326</v>
      </c>
      <c r="J53" s="4">
        <f>Tableau2[[#This Row],[Disponibilité]]*Tableau2[[#This Row],[Performance]]*Tableau2[[#This Row],[Qualité]]</f>
        <v>0.8328086247912132</v>
      </c>
    </row>
    <row r="54" spans="1:10" x14ac:dyDescent="0.3">
      <c r="A54" s="2">
        <v>45338</v>
      </c>
      <c r="B54" s="3">
        <v>1</v>
      </c>
      <c r="C54" s="3">
        <v>2</v>
      </c>
      <c r="D54">
        <v>85</v>
      </c>
      <c r="E54">
        <v>2172</v>
      </c>
      <c r="F54">
        <v>38</v>
      </c>
      <c r="G54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54" s="3">
        <f>Tableau2[[#This Row],[Vitesse de production réelle (unités/heure)]]/vitesseTheorique</f>
        <v>0.85</v>
      </c>
      <c r="I54" s="4">
        <f>(Tableau2[[#This Row],[Nombre total d''unités produites]]-Tableau2[[#This Row],[Nombre d''unités défectueuses]])/Tableau2[[#This Row],[Nombre total d''unités produites]]</f>
        <v>0.98250460405156537</v>
      </c>
      <c r="J54" s="4">
        <f>Tableau2[[#This Row],[Disponibilité]]*Tableau2[[#This Row],[Performance]]*Tableau2[[#This Row],[Qualité]]</f>
        <v>0.76250900792697573</v>
      </c>
    </row>
    <row r="55" spans="1:10" x14ac:dyDescent="0.3">
      <c r="A55" s="2">
        <v>45339</v>
      </c>
      <c r="B55" s="3">
        <v>1</v>
      </c>
      <c r="C55" s="3">
        <v>3</v>
      </c>
      <c r="D55">
        <v>97</v>
      </c>
      <c r="E55">
        <v>2111</v>
      </c>
      <c r="F55">
        <v>28</v>
      </c>
      <c r="G55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55" s="3">
        <f>Tableau2[[#This Row],[Vitesse de production réelle (unités/heure)]]/vitesseTheorique</f>
        <v>0.97</v>
      </c>
      <c r="I55" s="4">
        <f>(Tableau2[[#This Row],[Nombre total d''unités produites]]-Tableau2[[#This Row],[Nombre d''unités défectueuses]])/Tableau2[[#This Row],[Nombre total d''unités produites]]</f>
        <v>0.98673614400757936</v>
      </c>
      <c r="J55" s="4">
        <f>Tableau2[[#This Row],[Disponibilité]]*Tableau2[[#This Row],[Performance]]*Tableau2[[#This Row],[Qualité]]</f>
        <v>0.83229048668465377</v>
      </c>
    </row>
    <row r="56" spans="1:10" x14ac:dyDescent="0.3">
      <c r="A56" s="2">
        <v>45340</v>
      </c>
      <c r="B56" s="3">
        <v>2</v>
      </c>
      <c r="C56" s="3">
        <v>3</v>
      </c>
      <c r="D56">
        <v>83</v>
      </c>
      <c r="E56">
        <v>1754</v>
      </c>
      <c r="F56">
        <v>25</v>
      </c>
      <c r="G56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56" s="3">
        <f>Tableau2[[#This Row],[Vitesse de production réelle (unités/heure)]]/vitesseTheorique</f>
        <v>0.83</v>
      </c>
      <c r="I56" s="4">
        <f>(Tableau2[[#This Row],[Nombre total d''unités produites]]-Tableau2[[#This Row],[Nombre d''unités défectueuses]])/Tableau2[[#This Row],[Nombre total d''unités produites]]</f>
        <v>0.98574686431014824</v>
      </c>
      <c r="J56" s="4">
        <f>Tableau2[[#This Row],[Disponibilité]]*Tableau2[[#This Row],[Performance]]*Tableau2[[#This Row],[Qualité]]</f>
        <v>0.70660127500777448</v>
      </c>
    </row>
    <row r="57" spans="1:10" x14ac:dyDescent="0.3">
      <c r="A57" s="2">
        <v>45341</v>
      </c>
      <c r="B57" s="3">
        <v>3</v>
      </c>
      <c r="C57" s="3">
        <v>3</v>
      </c>
      <c r="D57">
        <v>83</v>
      </c>
      <c r="E57">
        <v>1980</v>
      </c>
      <c r="F57">
        <v>51</v>
      </c>
      <c r="G57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57" s="3">
        <f>Tableau2[[#This Row],[Vitesse de production réelle (unités/heure)]]/vitesseTheorique</f>
        <v>0.83</v>
      </c>
      <c r="I57" s="4">
        <f>(Tableau2[[#This Row],[Nombre total d''unités produites]]-Tableau2[[#This Row],[Nombre d''unités défectueuses]])/Tableau2[[#This Row],[Nombre total d''unités produites]]</f>
        <v>0.97424242424242424</v>
      </c>
      <c r="J57" s="4">
        <f>Tableau2[[#This Row],[Disponibilité]]*Tableau2[[#This Row],[Performance]]*Tableau2[[#This Row],[Qualité]]</f>
        <v>0.69310389610389611</v>
      </c>
    </row>
    <row r="58" spans="1:10" x14ac:dyDescent="0.3">
      <c r="A58" s="2">
        <v>45342</v>
      </c>
      <c r="B58" s="3">
        <v>2</v>
      </c>
      <c r="C58" s="3">
        <v>2</v>
      </c>
      <c r="D58">
        <v>95</v>
      </c>
      <c r="E58">
        <v>1849</v>
      </c>
      <c r="F58">
        <v>58</v>
      </c>
      <c r="G58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58" s="3">
        <f>Tableau2[[#This Row],[Vitesse de production réelle (unités/heure)]]/vitesseTheorique</f>
        <v>0.95</v>
      </c>
      <c r="I58" s="4">
        <f>(Tableau2[[#This Row],[Nombre total d''unités produites]]-Tableau2[[#This Row],[Nombre d''unités défectueuses]])/Tableau2[[#This Row],[Nombre total d''unités produites]]</f>
        <v>0.96863169280692263</v>
      </c>
      <c r="J58" s="4">
        <f>Tableau2[[#This Row],[Disponibilité]]*Tableau2[[#This Row],[Performance]]*Tableau2[[#This Row],[Qualité]]</f>
        <v>0.8365455528787058</v>
      </c>
    </row>
    <row r="59" spans="1:10" x14ac:dyDescent="0.3">
      <c r="A59" s="2">
        <v>45343</v>
      </c>
      <c r="B59" s="3">
        <v>1</v>
      </c>
      <c r="C59" s="3">
        <v>2</v>
      </c>
      <c r="D59">
        <v>88</v>
      </c>
      <c r="E59">
        <v>1964</v>
      </c>
      <c r="F59">
        <v>57</v>
      </c>
      <c r="G59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59" s="3">
        <f>Tableau2[[#This Row],[Vitesse de production réelle (unités/heure)]]/vitesseTheorique</f>
        <v>0.88</v>
      </c>
      <c r="I59" s="4">
        <f>(Tableau2[[#This Row],[Nombre total d''unités produites]]-Tableau2[[#This Row],[Nombre d''unités défectueuses]])/Tableau2[[#This Row],[Nombre total d''unités produites]]</f>
        <v>0.97097759674134421</v>
      </c>
      <c r="J59" s="4">
        <f>Tableau2[[#This Row],[Disponibilité]]*Tableau2[[#This Row],[Performance]]*Tableau2[[#This Row],[Qualité]]</f>
        <v>0.78015939077304519</v>
      </c>
    </row>
    <row r="60" spans="1:10" x14ac:dyDescent="0.3">
      <c r="A60" s="2">
        <v>45344</v>
      </c>
      <c r="B60" s="3">
        <v>1</v>
      </c>
      <c r="C60" s="3">
        <v>2</v>
      </c>
      <c r="D60">
        <v>100</v>
      </c>
      <c r="E60">
        <v>1950</v>
      </c>
      <c r="F60">
        <v>26</v>
      </c>
      <c r="G60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60" s="3">
        <f>Tableau2[[#This Row],[Vitesse de production réelle (unités/heure)]]/vitesseTheorique</f>
        <v>1</v>
      </c>
      <c r="I60" s="4">
        <f>(Tableau2[[#This Row],[Nombre total d''unités produites]]-Tableau2[[#This Row],[Nombre d''unités défectueuses]])/Tableau2[[#This Row],[Nombre total d''unités produites]]</f>
        <v>0.98666666666666669</v>
      </c>
      <c r="J60" s="4">
        <f>Tableau2[[#This Row],[Disponibilité]]*Tableau2[[#This Row],[Performance]]*Tableau2[[#This Row],[Qualité]]</f>
        <v>0.90086956521739125</v>
      </c>
    </row>
    <row r="61" spans="1:10" x14ac:dyDescent="0.3">
      <c r="A61" s="2">
        <v>45345</v>
      </c>
      <c r="B61" s="3">
        <v>1</v>
      </c>
      <c r="C61" s="3">
        <v>3</v>
      </c>
      <c r="D61">
        <v>89</v>
      </c>
      <c r="E61">
        <v>1953</v>
      </c>
      <c r="F61">
        <v>28</v>
      </c>
      <c r="G61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61" s="3">
        <f>Tableau2[[#This Row],[Vitesse de production réelle (unités/heure)]]/vitesseTheorique</f>
        <v>0.89</v>
      </c>
      <c r="I61" s="4">
        <f>(Tableau2[[#This Row],[Nombre total d''unités produites]]-Tableau2[[#This Row],[Nombre d''unités défectueuses]])/Tableau2[[#This Row],[Nombre total d''unités produites]]</f>
        <v>0.98566308243727596</v>
      </c>
      <c r="J61" s="4">
        <f>Tableau2[[#This Row],[Disponibilité]]*Tableau2[[#This Row],[Performance]]*Tableau2[[#This Row],[Qualité]]</f>
        <v>0.76281751597319614</v>
      </c>
    </row>
    <row r="62" spans="1:10" x14ac:dyDescent="0.3">
      <c r="A62" s="2">
        <v>45346</v>
      </c>
      <c r="B62" s="3">
        <v>1</v>
      </c>
      <c r="C62" s="3">
        <v>2</v>
      </c>
      <c r="D62">
        <v>93</v>
      </c>
      <c r="E62">
        <v>1927</v>
      </c>
      <c r="F62">
        <v>24</v>
      </c>
      <c r="G62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62" s="3">
        <f>Tableau2[[#This Row],[Vitesse de production réelle (unités/heure)]]/vitesseTheorique</f>
        <v>0.93</v>
      </c>
      <c r="I62" s="4">
        <f>(Tableau2[[#This Row],[Nombre total d''unités produites]]-Tableau2[[#This Row],[Nombre d''unités défectueuses]])/Tableau2[[#This Row],[Nombre total d''unités produites]]</f>
        <v>0.98754540736896734</v>
      </c>
      <c r="J62" s="4">
        <f>Tableau2[[#This Row],[Disponibilité]]*Tableau2[[#This Row],[Performance]]*Tableau2[[#This Row],[Qualité]]</f>
        <v>0.83855486112677968</v>
      </c>
    </row>
    <row r="63" spans="1:10" x14ac:dyDescent="0.3">
      <c r="A63" s="2">
        <v>45347</v>
      </c>
      <c r="B63" s="3">
        <v>1</v>
      </c>
      <c r="C63" s="3">
        <v>3</v>
      </c>
      <c r="D63">
        <v>85</v>
      </c>
      <c r="E63">
        <v>1843</v>
      </c>
      <c r="F63">
        <v>39</v>
      </c>
      <c r="G63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63" s="3">
        <f>Tableau2[[#This Row],[Vitesse de production réelle (unités/heure)]]/vitesseTheorique</f>
        <v>0.85</v>
      </c>
      <c r="I63" s="4">
        <f>(Tableau2[[#This Row],[Nombre total d''unités produites]]-Tableau2[[#This Row],[Nombre d''unités défectueuses]])/Tableau2[[#This Row],[Nombre total d''unités produites]]</f>
        <v>0.97883884970157353</v>
      </c>
      <c r="J63" s="4">
        <f>Tableau2[[#This Row],[Disponibilité]]*Tableau2[[#This Row],[Performance]]*Tableau2[[#This Row],[Qualité]]</f>
        <v>0.72348958456203261</v>
      </c>
    </row>
    <row r="64" spans="1:10" x14ac:dyDescent="0.3">
      <c r="A64" s="2">
        <v>45348</v>
      </c>
      <c r="B64" s="3">
        <v>1</v>
      </c>
      <c r="C64" s="3">
        <v>3</v>
      </c>
      <c r="D64">
        <v>97</v>
      </c>
      <c r="E64">
        <v>1988</v>
      </c>
      <c r="F64">
        <v>52</v>
      </c>
      <c r="G64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64" s="3">
        <f>Tableau2[[#This Row],[Vitesse de production réelle (unités/heure)]]/vitesseTheorique</f>
        <v>0.97</v>
      </c>
      <c r="I64" s="4">
        <f>(Tableau2[[#This Row],[Nombre total d''unités produites]]-Tableau2[[#This Row],[Nombre d''unités défectueuses]])/Tableau2[[#This Row],[Nombre total d''unités produites]]</f>
        <v>0.97384305835010065</v>
      </c>
      <c r="J64" s="4">
        <f>Tableau2[[#This Row],[Disponibilité]]*Tableau2[[#This Row],[Performance]]*Tableau2[[#This Row],[Qualité]]</f>
        <v>0.82141544921704135</v>
      </c>
    </row>
    <row r="65" spans="1:10" x14ac:dyDescent="0.3">
      <c r="A65" s="2">
        <v>45349</v>
      </c>
      <c r="B65" s="3">
        <v>2</v>
      </c>
      <c r="C65" s="3">
        <v>3</v>
      </c>
      <c r="D65">
        <v>84</v>
      </c>
      <c r="E65">
        <v>2009</v>
      </c>
      <c r="F65">
        <v>26</v>
      </c>
      <c r="G65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65" s="3">
        <f>Tableau2[[#This Row],[Vitesse de production réelle (unités/heure)]]/vitesseTheorique</f>
        <v>0.84</v>
      </c>
      <c r="I65" s="4">
        <f>(Tableau2[[#This Row],[Nombre total d''unités produites]]-Tableau2[[#This Row],[Nombre d''unités défectueuses]])/Tableau2[[#This Row],[Nombre total d''unités produites]]</f>
        <v>0.98705823792931802</v>
      </c>
      <c r="J65" s="4">
        <f>Tableau2[[#This Row],[Disponibilité]]*Tableau2[[#This Row],[Performance]]*Tableau2[[#This Row],[Qualité]]</f>
        <v>0.71606588533417803</v>
      </c>
    </row>
    <row r="66" spans="1:10" x14ac:dyDescent="0.3">
      <c r="A66" s="2">
        <v>45350</v>
      </c>
      <c r="B66" s="3">
        <v>1</v>
      </c>
      <c r="C66" s="3">
        <v>1</v>
      </c>
      <c r="D66">
        <v>81</v>
      </c>
      <c r="E66">
        <v>1983</v>
      </c>
      <c r="F66">
        <v>58</v>
      </c>
      <c r="G66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66" s="3">
        <f>Tableau2[[#This Row],[Vitesse de production réelle (unités/heure)]]/vitesseTheorique</f>
        <v>0.81</v>
      </c>
      <c r="I66" s="4">
        <f>(Tableau2[[#This Row],[Nombre total d''unités produites]]-Tableau2[[#This Row],[Nombre d''unités défectueuses]])/Tableau2[[#This Row],[Nombre total d''unités produites]]</f>
        <v>0.97075138678769546</v>
      </c>
      <c r="J66" s="4">
        <f>Tableau2[[#This Row],[Disponibilité]]*Tableau2[[#This Row],[Performance]]*Tableau2[[#This Row],[Qualité]]</f>
        <v>0.75212129185029286</v>
      </c>
    </row>
    <row r="67" spans="1:10" x14ac:dyDescent="0.3">
      <c r="A67" s="2">
        <v>45351</v>
      </c>
      <c r="B67" s="3">
        <v>1</v>
      </c>
      <c r="C67" s="3">
        <v>3</v>
      </c>
      <c r="D67">
        <v>86</v>
      </c>
      <c r="E67">
        <v>2184</v>
      </c>
      <c r="F67">
        <v>20</v>
      </c>
      <c r="G67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67" s="3">
        <f>Tableau2[[#This Row],[Vitesse de production réelle (unités/heure)]]/vitesseTheorique</f>
        <v>0.86</v>
      </c>
      <c r="I67" s="4">
        <f>(Tableau2[[#This Row],[Nombre total d''unités produites]]-Tableau2[[#This Row],[Nombre d''unités défectueuses]])/Tableau2[[#This Row],[Nombre total d''unités produites]]</f>
        <v>0.99084249084249088</v>
      </c>
      <c r="J67" s="4">
        <f>Tableau2[[#This Row],[Disponibilité]]*Tableau2[[#This Row],[Performance]]*Tableau2[[#This Row],[Qualité]]</f>
        <v>0.74097786271699317</v>
      </c>
    </row>
    <row r="68" spans="1:10" x14ac:dyDescent="0.3">
      <c r="A68" s="2">
        <v>45352</v>
      </c>
      <c r="B68" s="3">
        <v>2</v>
      </c>
      <c r="C68" s="3">
        <v>2</v>
      </c>
      <c r="D68">
        <v>99</v>
      </c>
      <c r="E68">
        <v>1885</v>
      </c>
      <c r="F68">
        <v>47</v>
      </c>
      <c r="G68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68" s="3">
        <f>Tableau2[[#This Row],[Vitesse de production réelle (unités/heure)]]/vitesseTheorique</f>
        <v>0.99</v>
      </c>
      <c r="I68" s="4">
        <f>(Tableau2[[#This Row],[Nombre total d''unités produites]]-Tableau2[[#This Row],[Nombre d''unités défectueuses]])/Tableau2[[#This Row],[Nombre total d''unités produites]]</f>
        <v>0.97506631299734747</v>
      </c>
      <c r="J68" s="4">
        <f>Tableau2[[#This Row],[Disponibilité]]*Tableau2[[#This Row],[Performance]]*Tableau2[[#This Row],[Qualité]]</f>
        <v>0.87755968169761267</v>
      </c>
    </row>
    <row r="69" spans="1:10" x14ac:dyDescent="0.3">
      <c r="A69" s="2">
        <v>45353</v>
      </c>
      <c r="B69" s="3">
        <v>2</v>
      </c>
      <c r="C69" s="3">
        <v>3</v>
      </c>
      <c r="D69">
        <v>85</v>
      </c>
      <c r="E69">
        <v>1978</v>
      </c>
      <c r="F69">
        <v>42</v>
      </c>
      <c r="G69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69" s="3">
        <f>Tableau2[[#This Row],[Vitesse de production réelle (unités/heure)]]/vitesseTheorique</f>
        <v>0.85</v>
      </c>
      <c r="I69" s="4">
        <f>(Tableau2[[#This Row],[Nombre total d''unités produites]]-Tableau2[[#This Row],[Nombre d''unités défectueuses]])/Tableau2[[#This Row],[Nombre total d''unités produites]]</f>
        <v>0.97876643073811931</v>
      </c>
      <c r="J69" s="4">
        <f>Tableau2[[#This Row],[Disponibilité]]*Tableau2[[#This Row],[Performance]]*Tableau2[[#This Row],[Qualité]]</f>
        <v>0.71850353892821039</v>
      </c>
    </row>
    <row r="70" spans="1:10" x14ac:dyDescent="0.3">
      <c r="A70" s="2">
        <v>45354</v>
      </c>
      <c r="B70" s="3">
        <v>2</v>
      </c>
      <c r="C70" s="3">
        <v>2</v>
      </c>
      <c r="D70">
        <v>96</v>
      </c>
      <c r="E70">
        <v>1935</v>
      </c>
      <c r="F70">
        <v>38</v>
      </c>
      <c r="G70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70" s="3">
        <f>Tableau2[[#This Row],[Vitesse de production réelle (unités/heure)]]/vitesseTheorique</f>
        <v>0.96</v>
      </c>
      <c r="I70" s="4">
        <f>(Tableau2[[#This Row],[Nombre total d''unités produites]]-Tableau2[[#This Row],[Nombre d''unités défectueuses]])/Tableau2[[#This Row],[Nombre total d''unités produites]]</f>
        <v>0.9803617571059432</v>
      </c>
      <c r="J70" s="4">
        <f>Tableau2[[#This Row],[Disponibilité]]*Tableau2[[#This Row],[Performance]]*Tableau2[[#This Row],[Qualité]]</f>
        <v>0.85558844256518674</v>
      </c>
    </row>
    <row r="71" spans="1:10" x14ac:dyDescent="0.3">
      <c r="A71" s="2">
        <v>45355</v>
      </c>
      <c r="B71" s="3">
        <v>1</v>
      </c>
      <c r="C71" s="3">
        <v>1</v>
      </c>
      <c r="D71">
        <v>97</v>
      </c>
      <c r="E71">
        <v>1899</v>
      </c>
      <c r="F71">
        <v>41</v>
      </c>
      <c r="G71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71" s="3">
        <f>Tableau2[[#This Row],[Vitesse de production réelle (unités/heure)]]/vitesseTheorique</f>
        <v>0.97</v>
      </c>
      <c r="I71" s="4">
        <f>(Tableau2[[#This Row],[Nombre total d''unités produites]]-Tableau2[[#This Row],[Nombre d''unités défectueuses]])/Tableau2[[#This Row],[Nombre total d''unités produites]]</f>
        <v>0.97840968931016326</v>
      </c>
      <c r="J71" s="4">
        <f>Tableau2[[#This Row],[Disponibilité]]*Tableau2[[#This Row],[Performance]]*Tableau2[[#This Row],[Qualité]]</f>
        <v>0.90779403347299492</v>
      </c>
    </row>
    <row r="72" spans="1:10" x14ac:dyDescent="0.3">
      <c r="A72" s="2">
        <v>45356</v>
      </c>
      <c r="B72" s="3">
        <v>2</v>
      </c>
      <c r="C72" s="3">
        <v>1</v>
      </c>
      <c r="D72">
        <v>100</v>
      </c>
      <c r="E72">
        <v>2080</v>
      </c>
      <c r="F72">
        <v>37</v>
      </c>
      <c r="G72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72" s="3">
        <f>Tableau2[[#This Row],[Vitesse de production réelle (unités/heure)]]/vitesseTheorique</f>
        <v>1</v>
      </c>
      <c r="I72" s="4">
        <f>(Tableau2[[#This Row],[Nombre total d''unités produites]]-Tableau2[[#This Row],[Nombre d''unités défectueuses]])/Tableau2[[#This Row],[Nombre total d''unités produites]]</f>
        <v>0.98221153846153841</v>
      </c>
      <c r="J72" s="4">
        <f>Tableau2[[#This Row],[Disponibilité]]*Tableau2[[#This Row],[Performance]]*Tableau2[[#This Row],[Qualité]]</f>
        <v>0.93756555944055942</v>
      </c>
    </row>
    <row r="73" spans="1:10" x14ac:dyDescent="0.3">
      <c r="A73" s="2">
        <v>45357</v>
      </c>
      <c r="B73" s="3">
        <v>3</v>
      </c>
      <c r="C73" s="3">
        <v>2</v>
      </c>
      <c r="D73">
        <v>95</v>
      </c>
      <c r="E73">
        <v>1908</v>
      </c>
      <c r="F73">
        <v>51</v>
      </c>
      <c r="G73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73" s="3">
        <f>Tableau2[[#This Row],[Vitesse de production réelle (unités/heure)]]/vitesseTheorique</f>
        <v>0.95</v>
      </c>
      <c r="I73" s="4">
        <f>(Tableau2[[#This Row],[Nombre total d''unités produites]]-Tableau2[[#This Row],[Nombre d''unités défectueuses]])/Tableau2[[#This Row],[Nombre total d''unités produites]]</f>
        <v>0.97327044025157228</v>
      </c>
      <c r="J73" s="4">
        <f>Tableau2[[#This Row],[Disponibilité]]*Tableau2[[#This Row],[Performance]]*Tableau2[[#This Row],[Qualité]]</f>
        <v>0.83654911650194663</v>
      </c>
    </row>
    <row r="74" spans="1:10" x14ac:dyDescent="0.3">
      <c r="A74" s="2">
        <v>45358</v>
      </c>
      <c r="B74" s="3">
        <v>3</v>
      </c>
      <c r="C74" s="3">
        <v>1</v>
      </c>
      <c r="D74">
        <v>85</v>
      </c>
      <c r="E74">
        <v>2166</v>
      </c>
      <c r="F74">
        <v>21</v>
      </c>
      <c r="G74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74" s="3">
        <f>Tableau2[[#This Row],[Vitesse de production réelle (unités/heure)]]/vitesseTheorique</f>
        <v>0.85</v>
      </c>
      <c r="I74" s="4">
        <f>(Tableau2[[#This Row],[Nombre total d''unités produites]]-Tableau2[[#This Row],[Nombre d''unités défectueuses]])/Tableau2[[#This Row],[Nombre total d''unités produites]]</f>
        <v>0.99030470914127422</v>
      </c>
      <c r="J74" s="4">
        <f>Tableau2[[#This Row],[Disponibilité]]*Tableau2[[#This Row],[Performance]]*Tableau2[[#This Row],[Qualité]]</f>
        <v>0.80167524073341234</v>
      </c>
    </row>
    <row r="75" spans="1:10" x14ac:dyDescent="0.3">
      <c r="A75" s="2">
        <v>45359</v>
      </c>
      <c r="B75" s="3">
        <v>2</v>
      </c>
      <c r="C75" s="3">
        <v>1</v>
      </c>
      <c r="D75">
        <v>86</v>
      </c>
      <c r="E75">
        <v>1950</v>
      </c>
      <c r="F75">
        <v>26</v>
      </c>
      <c r="G75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75" s="3">
        <f>Tableau2[[#This Row],[Vitesse de production réelle (unités/heure)]]/vitesseTheorique</f>
        <v>0.86</v>
      </c>
      <c r="I75" s="4">
        <f>(Tableau2[[#This Row],[Nombre total d''unités produites]]-Tableau2[[#This Row],[Nombre d''unités défectueuses]])/Tableau2[[#This Row],[Nombre total d''unités produites]]</f>
        <v>0.98666666666666669</v>
      </c>
      <c r="J75" s="4">
        <f>Tableau2[[#This Row],[Disponibilité]]*Tableau2[[#This Row],[Performance]]*Tableau2[[#This Row],[Qualité]]</f>
        <v>0.80996363636363644</v>
      </c>
    </row>
    <row r="76" spans="1:10" x14ac:dyDescent="0.3">
      <c r="A76" s="2">
        <v>45360</v>
      </c>
      <c r="B76" s="3">
        <v>2</v>
      </c>
      <c r="C76" s="3">
        <v>1</v>
      </c>
      <c r="D76">
        <v>96</v>
      </c>
      <c r="E76">
        <v>1916</v>
      </c>
      <c r="F76">
        <v>34</v>
      </c>
      <c r="G76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76" s="3">
        <f>Tableau2[[#This Row],[Vitesse de production réelle (unités/heure)]]/vitesseTheorique</f>
        <v>0.96</v>
      </c>
      <c r="I76" s="4">
        <f>(Tableau2[[#This Row],[Nombre total d''unités produites]]-Tableau2[[#This Row],[Nombre d''unités défectueuses]])/Tableau2[[#This Row],[Nombre total d''unités produites]]</f>
        <v>0.98225469728601256</v>
      </c>
      <c r="J76" s="4">
        <f>Tableau2[[#This Row],[Disponibilité]]*Tableau2[[#This Row],[Performance]]*Tableau2[[#This Row],[Qualité]]</f>
        <v>0.90010248624027334</v>
      </c>
    </row>
    <row r="77" spans="1:10" x14ac:dyDescent="0.3">
      <c r="A77" s="2">
        <v>45361</v>
      </c>
      <c r="B77" s="3">
        <v>1</v>
      </c>
      <c r="C77" s="3">
        <v>2</v>
      </c>
      <c r="D77">
        <v>94</v>
      </c>
      <c r="E77">
        <v>2079</v>
      </c>
      <c r="F77">
        <v>52</v>
      </c>
      <c r="G77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77" s="3">
        <f>Tableau2[[#This Row],[Vitesse de production réelle (unités/heure)]]/vitesseTheorique</f>
        <v>0.94</v>
      </c>
      <c r="I77" s="4">
        <f>(Tableau2[[#This Row],[Nombre total d''unités produites]]-Tableau2[[#This Row],[Nombre d''unités défectueuses]])/Tableau2[[#This Row],[Nombre total d''unités produites]]</f>
        <v>0.97498797498797496</v>
      </c>
      <c r="J77" s="4">
        <f>Tableau2[[#This Row],[Disponibilité]]*Tableau2[[#This Row],[Performance]]*Tableau2[[#This Row],[Qualité]]</f>
        <v>0.83679402722880969</v>
      </c>
    </row>
    <row r="78" spans="1:10" x14ac:dyDescent="0.3">
      <c r="A78" s="2">
        <v>45362</v>
      </c>
      <c r="B78" s="3">
        <v>3</v>
      </c>
      <c r="C78" s="3">
        <v>2</v>
      </c>
      <c r="D78">
        <v>93</v>
      </c>
      <c r="E78">
        <v>2207</v>
      </c>
      <c r="F78">
        <v>45</v>
      </c>
      <c r="G78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78" s="3">
        <f>Tableau2[[#This Row],[Vitesse de production réelle (unités/heure)]]/vitesseTheorique</f>
        <v>0.93</v>
      </c>
      <c r="I78" s="4">
        <f>(Tableau2[[#This Row],[Nombre total d''unités produites]]-Tableau2[[#This Row],[Nombre d''unités défectueuses]])/Tableau2[[#This Row],[Nombre total d''unités produites]]</f>
        <v>0.97961033076574533</v>
      </c>
      <c r="J78" s="4">
        <f>Tableau2[[#This Row],[Disponibilité]]*Tableau2[[#This Row],[Performance]]*Tableau2[[#This Row],[Qualité]]</f>
        <v>0.8242721211728915</v>
      </c>
    </row>
    <row r="79" spans="1:10" x14ac:dyDescent="0.3">
      <c r="A79" s="2">
        <v>45363</v>
      </c>
      <c r="B79" s="3">
        <v>3</v>
      </c>
      <c r="C79" s="3">
        <v>2</v>
      </c>
      <c r="D79">
        <v>99</v>
      </c>
      <c r="E79">
        <v>1778</v>
      </c>
      <c r="F79">
        <v>27</v>
      </c>
      <c r="G79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79" s="3">
        <f>Tableau2[[#This Row],[Vitesse de production réelle (unités/heure)]]/vitesseTheorique</f>
        <v>0.99</v>
      </c>
      <c r="I79" s="4">
        <f>(Tableau2[[#This Row],[Nombre total d''unités produites]]-Tableau2[[#This Row],[Nombre d''unités défectueuses]])/Tableau2[[#This Row],[Nombre total d''unités produites]]</f>
        <v>0.98481439820022498</v>
      </c>
      <c r="J79" s="4">
        <f>Tableau2[[#This Row],[Disponibilité]]*Tableau2[[#This Row],[Performance]]*Tableau2[[#This Row],[Qualité]]</f>
        <v>0.88211232524505867</v>
      </c>
    </row>
    <row r="80" spans="1:10" x14ac:dyDescent="0.3">
      <c r="A80" s="2">
        <v>45364</v>
      </c>
      <c r="B80" s="3">
        <v>2</v>
      </c>
      <c r="C80" s="3">
        <v>3</v>
      </c>
      <c r="D80">
        <v>84</v>
      </c>
      <c r="E80">
        <v>1995</v>
      </c>
      <c r="F80">
        <v>24</v>
      </c>
      <c r="G80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80" s="3">
        <f>Tableau2[[#This Row],[Vitesse de production réelle (unités/heure)]]/vitesseTheorique</f>
        <v>0.84</v>
      </c>
      <c r="I80" s="4">
        <f>(Tableau2[[#This Row],[Nombre total d''unités produites]]-Tableau2[[#This Row],[Nombre d''unités défectueuses]])/Tableau2[[#This Row],[Nombre total d''unités produites]]</f>
        <v>0.98796992481203005</v>
      </c>
      <c r="J80" s="4">
        <f>Tableau2[[#This Row],[Disponibilité]]*Tableau2[[#This Row],[Performance]]*Tableau2[[#This Row],[Qualité]]</f>
        <v>0.71672727272727277</v>
      </c>
    </row>
    <row r="81" spans="1:10" x14ac:dyDescent="0.3">
      <c r="A81" s="2">
        <v>45365</v>
      </c>
      <c r="B81" s="3">
        <v>2</v>
      </c>
      <c r="C81" s="3">
        <v>3</v>
      </c>
      <c r="D81">
        <v>87</v>
      </c>
      <c r="E81">
        <v>1844</v>
      </c>
      <c r="F81">
        <v>50</v>
      </c>
      <c r="G81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81" s="3">
        <f>Tableau2[[#This Row],[Vitesse de production réelle (unités/heure)]]/vitesseTheorique</f>
        <v>0.87</v>
      </c>
      <c r="I81" s="4">
        <f>(Tableau2[[#This Row],[Nombre total d''unités produites]]-Tableau2[[#This Row],[Nombre d''unités défectueuses]])/Tableau2[[#This Row],[Nombre total d''unités produites]]</f>
        <v>0.97288503253796099</v>
      </c>
      <c r="J81" s="4">
        <f>Tableau2[[#This Row],[Disponibilité]]*Tableau2[[#This Row],[Performance]]*Tableau2[[#This Row],[Qualité]]</f>
        <v>0.73099043581147705</v>
      </c>
    </row>
    <row r="82" spans="1:10" x14ac:dyDescent="0.3">
      <c r="A82" s="2">
        <v>45366</v>
      </c>
      <c r="B82" s="3">
        <v>3</v>
      </c>
      <c r="C82" s="3">
        <v>2</v>
      </c>
      <c r="D82">
        <v>81</v>
      </c>
      <c r="E82">
        <v>2103</v>
      </c>
      <c r="F82">
        <v>56</v>
      </c>
      <c r="G82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82" s="3">
        <f>Tableau2[[#This Row],[Vitesse de production réelle (unités/heure)]]/vitesseTheorique</f>
        <v>0.81</v>
      </c>
      <c r="I82" s="4">
        <f>(Tableau2[[#This Row],[Nombre total d''unités produites]]-Tableau2[[#This Row],[Nombre d''unités défectueuses]])/Tableau2[[#This Row],[Nombre total d''unités produites]]</f>
        <v>0.97337137422729436</v>
      </c>
      <c r="J82" s="4">
        <f>Tableau2[[#This Row],[Disponibilité]]*Tableau2[[#This Row],[Performance]]*Tableau2[[#This Row],[Qualité]]</f>
        <v>0.71334216425514574</v>
      </c>
    </row>
    <row r="83" spans="1:10" x14ac:dyDescent="0.3">
      <c r="A83" s="2">
        <v>45367</v>
      </c>
      <c r="B83" s="3">
        <v>2</v>
      </c>
      <c r="C83" s="3">
        <v>3</v>
      </c>
      <c r="D83">
        <v>85</v>
      </c>
      <c r="E83">
        <v>1984</v>
      </c>
      <c r="F83">
        <v>25</v>
      </c>
      <c r="G83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83" s="3">
        <f>Tableau2[[#This Row],[Vitesse de production réelle (unités/heure)]]/vitesseTheorique</f>
        <v>0.85</v>
      </c>
      <c r="I83" s="4">
        <f>(Tableau2[[#This Row],[Nombre total d''unités produites]]-Tableau2[[#This Row],[Nombre d''unités défectueuses]])/Tableau2[[#This Row],[Nombre total d''unités produites]]</f>
        <v>0.98739919354838712</v>
      </c>
      <c r="J83" s="4">
        <f>Tableau2[[#This Row],[Disponibilité]]*Tableau2[[#This Row],[Performance]]*Tableau2[[#This Row],[Qualité]]</f>
        <v>0.72484077162756599</v>
      </c>
    </row>
    <row r="84" spans="1:10" x14ac:dyDescent="0.3">
      <c r="A84" s="2">
        <v>45368</v>
      </c>
      <c r="B84" s="3">
        <v>2</v>
      </c>
      <c r="C84" s="3">
        <v>2</v>
      </c>
      <c r="D84">
        <v>83</v>
      </c>
      <c r="E84">
        <v>2102</v>
      </c>
      <c r="F84">
        <v>38</v>
      </c>
      <c r="G84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84" s="3">
        <f>Tableau2[[#This Row],[Vitesse de production réelle (unités/heure)]]/vitesseTheorique</f>
        <v>0.83</v>
      </c>
      <c r="I84" s="4">
        <f>(Tableau2[[#This Row],[Nombre total d''unités produites]]-Tableau2[[#This Row],[Nombre d''unités défectueuses]])/Tableau2[[#This Row],[Nombre total d''unités produites]]</f>
        <v>0.98192197906755474</v>
      </c>
      <c r="J84" s="4">
        <f>Tableau2[[#This Row],[Disponibilité]]*Tableau2[[#This Row],[Performance]]*Tableau2[[#This Row],[Qualité]]</f>
        <v>0.74090476602370037</v>
      </c>
    </row>
    <row r="85" spans="1:10" x14ac:dyDescent="0.3">
      <c r="A85" s="2">
        <v>45369</v>
      </c>
      <c r="B85" s="3">
        <v>1</v>
      </c>
      <c r="C85" s="3">
        <v>1</v>
      </c>
      <c r="D85">
        <v>96</v>
      </c>
      <c r="E85">
        <v>2084</v>
      </c>
      <c r="F85">
        <v>39</v>
      </c>
      <c r="G85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85" s="3">
        <f>Tableau2[[#This Row],[Vitesse de production réelle (unités/heure)]]/vitesseTheorique</f>
        <v>0.96</v>
      </c>
      <c r="I85" s="4">
        <f>(Tableau2[[#This Row],[Nombre total d''unités produites]]-Tableau2[[#This Row],[Nombre d''unités défectueuses]])/Tableau2[[#This Row],[Nombre total d''unités produites]]</f>
        <v>0.9812859884836852</v>
      </c>
      <c r="J85" s="4">
        <f>Tableau2[[#This Row],[Disponibilité]]*Tableau2[[#This Row],[Performance]]*Tableau2[[#This Row],[Qualité]]</f>
        <v>0.9010765250771926</v>
      </c>
    </row>
    <row r="86" spans="1:10" x14ac:dyDescent="0.3">
      <c r="A86" s="2">
        <v>45370</v>
      </c>
      <c r="B86" s="3">
        <v>2</v>
      </c>
      <c r="C86" s="3">
        <v>3</v>
      </c>
      <c r="D86">
        <v>97</v>
      </c>
      <c r="E86">
        <v>1762</v>
      </c>
      <c r="F86">
        <v>54</v>
      </c>
      <c r="G86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86" s="3">
        <f>Tableau2[[#This Row],[Vitesse de production réelle (unités/heure)]]/vitesseTheorique</f>
        <v>0.97</v>
      </c>
      <c r="I86" s="4">
        <f>(Tableau2[[#This Row],[Nombre total d''unités produites]]-Tableau2[[#This Row],[Nombre d''unités défectueuses]])/Tableau2[[#This Row],[Nombre total d''unités produites]]</f>
        <v>0.96935300794551649</v>
      </c>
      <c r="J86" s="4">
        <f>Tableau2[[#This Row],[Disponibilité]]*Tableau2[[#This Row],[Performance]]*Tableau2[[#This Row],[Qualité]]</f>
        <v>0.81205345165617593</v>
      </c>
    </row>
    <row r="87" spans="1:10" x14ac:dyDescent="0.3">
      <c r="A87" s="2">
        <v>45371</v>
      </c>
      <c r="B87" s="3">
        <v>3</v>
      </c>
      <c r="C87" s="3">
        <v>2</v>
      </c>
      <c r="D87">
        <v>96</v>
      </c>
      <c r="E87">
        <v>2276</v>
      </c>
      <c r="F87">
        <v>35</v>
      </c>
      <c r="G87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87" s="3">
        <f>Tableau2[[#This Row],[Vitesse de production réelle (unités/heure)]]/vitesseTheorique</f>
        <v>0.96</v>
      </c>
      <c r="I87" s="4">
        <f>(Tableau2[[#This Row],[Nombre total d''unités produites]]-Tableau2[[#This Row],[Nombre d''unités défectueuses]])/Tableau2[[#This Row],[Nombre total d''unités produites]]</f>
        <v>0.98462214411247806</v>
      </c>
      <c r="J87" s="4">
        <f>Tableau2[[#This Row],[Disponibilité]]*Tableau2[[#This Row],[Performance]]*Tableau2[[#This Row],[Qualité]]</f>
        <v>0.85521466231483811</v>
      </c>
    </row>
    <row r="88" spans="1:10" x14ac:dyDescent="0.3">
      <c r="A88" s="2">
        <v>45372</v>
      </c>
      <c r="B88" s="3">
        <v>2</v>
      </c>
      <c r="C88" s="3">
        <v>3</v>
      </c>
      <c r="D88">
        <v>85</v>
      </c>
      <c r="E88">
        <v>1823</v>
      </c>
      <c r="F88">
        <v>46</v>
      </c>
      <c r="G88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88" s="3">
        <f>Tableau2[[#This Row],[Vitesse de production réelle (unités/heure)]]/vitesseTheorique</f>
        <v>0.85</v>
      </c>
      <c r="I88" s="4">
        <f>(Tableau2[[#This Row],[Nombre total d''unités produites]]-Tableau2[[#This Row],[Nombre d''unités défectueuses]])/Tableau2[[#This Row],[Nombre total d''unités produites]]</f>
        <v>0.97476686780032917</v>
      </c>
      <c r="J88" s="4">
        <f>Tableau2[[#This Row],[Disponibilité]]*Tableau2[[#This Row],[Performance]]*Tableau2[[#This Row],[Qualité]]</f>
        <v>0.71556749613524173</v>
      </c>
    </row>
    <row r="89" spans="1:10" x14ac:dyDescent="0.3">
      <c r="A89" s="2">
        <v>45373</v>
      </c>
      <c r="B89" s="3">
        <v>3</v>
      </c>
      <c r="C89" s="3">
        <v>3</v>
      </c>
      <c r="D89">
        <v>95</v>
      </c>
      <c r="E89">
        <v>2108</v>
      </c>
      <c r="F89">
        <v>43</v>
      </c>
      <c r="G89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89" s="3">
        <f>Tableau2[[#This Row],[Vitesse de production réelle (unités/heure)]]/vitesseTheorique</f>
        <v>0.95</v>
      </c>
      <c r="I89" s="4">
        <f>(Tableau2[[#This Row],[Nombre total d''unités produites]]-Tableau2[[#This Row],[Nombre d''unités défectueuses]])/Tableau2[[#This Row],[Nombre total d''unités produites]]</f>
        <v>0.97960151802656548</v>
      </c>
      <c r="J89" s="4">
        <f>Tableau2[[#This Row],[Disponibilité]]*Tableau2[[#This Row],[Performance]]*Tableau2[[#This Row],[Qualité]]</f>
        <v>0.79767552182163182</v>
      </c>
    </row>
    <row r="90" spans="1:10" x14ac:dyDescent="0.3">
      <c r="A90" s="2">
        <v>45374</v>
      </c>
      <c r="B90" s="3">
        <v>3</v>
      </c>
      <c r="C90" s="3">
        <v>2</v>
      </c>
      <c r="D90">
        <v>92</v>
      </c>
      <c r="E90">
        <v>2090</v>
      </c>
      <c r="F90">
        <v>44</v>
      </c>
      <c r="G90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90" s="3">
        <f>Tableau2[[#This Row],[Vitesse de production réelle (unités/heure)]]/vitesseTheorique</f>
        <v>0.92</v>
      </c>
      <c r="I90" s="4">
        <f>(Tableau2[[#This Row],[Nombre total d''unités produites]]-Tableau2[[#This Row],[Nombre d''unités défectueuses]])/Tableau2[[#This Row],[Nombre total d''unités produites]]</f>
        <v>0.97894736842105268</v>
      </c>
      <c r="J90" s="4">
        <f>Tableau2[[#This Row],[Disponibilité]]*Tableau2[[#This Row],[Performance]]*Tableau2[[#This Row],[Qualité]]</f>
        <v>0.81485714285714295</v>
      </c>
    </row>
    <row r="91" spans="1:10" x14ac:dyDescent="0.3">
      <c r="A91" s="2">
        <v>45375</v>
      </c>
      <c r="B91" s="3">
        <v>3</v>
      </c>
      <c r="C91" s="3">
        <v>1</v>
      </c>
      <c r="D91">
        <v>100</v>
      </c>
      <c r="E91">
        <v>2240</v>
      </c>
      <c r="F91">
        <v>30</v>
      </c>
      <c r="G91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91" s="3">
        <f>Tableau2[[#This Row],[Vitesse de production réelle (unités/heure)]]/vitesseTheorique</f>
        <v>1</v>
      </c>
      <c r="I91" s="4">
        <f>(Tableau2[[#This Row],[Nombre total d''unités produites]]-Tableau2[[#This Row],[Nombre d''unités défectueuses]])/Tableau2[[#This Row],[Nombre total d''unités produites]]</f>
        <v>0.9866071428571429</v>
      </c>
      <c r="J91" s="4">
        <f>Tableau2[[#This Row],[Disponibilité]]*Tableau2[[#This Row],[Performance]]*Tableau2[[#This Row],[Qualité]]</f>
        <v>0.93962585034013602</v>
      </c>
    </row>
    <row r="92" spans="1:10" x14ac:dyDescent="0.3">
      <c r="A92" s="2">
        <v>45376</v>
      </c>
      <c r="B92" s="3">
        <v>2</v>
      </c>
      <c r="C92" s="3">
        <v>3</v>
      </c>
      <c r="D92">
        <v>99</v>
      </c>
      <c r="E92">
        <v>2147</v>
      </c>
      <c r="F92">
        <v>23</v>
      </c>
      <c r="G92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92" s="3">
        <f>Tableau2[[#This Row],[Vitesse de production réelle (unités/heure)]]/vitesseTheorique</f>
        <v>0.99</v>
      </c>
      <c r="I92" s="4">
        <f>(Tableau2[[#This Row],[Nombre total d''unités produites]]-Tableau2[[#This Row],[Nombre d''unités défectueuses]])/Tableau2[[#This Row],[Nombre total d''unités produites]]</f>
        <v>0.98928737773637632</v>
      </c>
      <c r="J92" s="4">
        <f>Tableau2[[#This Row],[Disponibilité]]*Tableau2[[#This Row],[Performance]]*Tableau2[[#This Row],[Qualité]]</f>
        <v>0.84584070796460176</v>
      </c>
    </row>
    <row r="93" spans="1:10" x14ac:dyDescent="0.3">
      <c r="A93" s="2">
        <v>45377</v>
      </c>
      <c r="B93" s="3">
        <v>1</v>
      </c>
      <c r="C93" s="3">
        <v>1</v>
      </c>
      <c r="D93">
        <v>98</v>
      </c>
      <c r="E93">
        <v>2256</v>
      </c>
      <c r="F93">
        <v>25</v>
      </c>
      <c r="G93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93" s="3">
        <f>Tableau2[[#This Row],[Vitesse de production réelle (unités/heure)]]/vitesseTheorique</f>
        <v>0.98</v>
      </c>
      <c r="I93" s="4">
        <f>(Tableau2[[#This Row],[Nombre total d''unités produites]]-Tableau2[[#This Row],[Nombre d''unités défectueuses]])/Tableau2[[#This Row],[Nombre total d''unités produites]]</f>
        <v>0.9889184397163121</v>
      </c>
      <c r="J93" s="4">
        <f>Tableau2[[#This Row],[Disponibilité]]*Tableau2[[#This Row],[Performance]]*Tableau2[[#This Row],[Qualité]]</f>
        <v>0.92700354609929092</v>
      </c>
    </row>
    <row r="94" spans="1:10" x14ac:dyDescent="0.3">
      <c r="A94" s="2">
        <v>45378</v>
      </c>
      <c r="B94" s="3">
        <v>3</v>
      </c>
      <c r="C94" s="3">
        <v>1</v>
      </c>
      <c r="D94">
        <v>98</v>
      </c>
      <c r="E94">
        <v>1822</v>
      </c>
      <c r="F94">
        <v>37</v>
      </c>
      <c r="G94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94" s="3">
        <f>Tableau2[[#This Row],[Vitesse de production réelle (unités/heure)]]/vitesseTheorique</f>
        <v>0.98</v>
      </c>
      <c r="I94" s="4">
        <f>(Tableau2[[#This Row],[Nombre total d''unités produites]]-Tableau2[[#This Row],[Nombre d''unités défectueuses]])/Tableau2[[#This Row],[Nombre total d''unités produites]]</f>
        <v>0.97969264544456636</v>
      </c>
      <c r="J94" s="4">
        <f>Tableau2[[#This Row],[Disponibilité]]*Tableau2[[#This Row],[Performance]]*Tableau2[[#This Row],[Qualité]]</f>
        <v>0.91437980241492856</v>
      </c>
    </row>
    <row r="95" spans="1:10" x14ac:dyDescent="0.3">
      <c r="A95" s="2">
        <v>45379</v>
      </c>
      <c r="B95" s="3">
        <v>1</v>
      </c>
      <c r="C95" s="3">
        <v>2</v>
      </c>
      <c r="D95">
        <v>80</v>
      </c>
      <c r="E95">
        <v>1732</v>
      </c>
      <c r="F95">
        <v>50</v>
      </c>
      <c r="G95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95" s="3">
        <f>Tableau2[[#This Row],[Vitesse de production réelle (unités/heure)]]/vitesseTheorique</f>
        <v>0.8</v>
      </c>
      <c r="I95" s="4">
        <f>(Tableau2[[#This Row],[Nombre total d''unités produites]]-Tableau2[[#This Row],[Nombre d''unités défectueuses]])/Tableau2[[#This Row],[Nombre total d''unités produites]]</f>
        <v>0.97113163972286376</v>
      </c>
      <c r="J95" s="4">
        <f>Tableau2[[#This Row],[Disponibilité]]*Tableau2[[#This Row],[Performance]]*Tableau2[[#This Row],[Qualité]]</f>
        <v>0.70934832814539617</v>
      </c>
    </row>
    <row r="96" spans="1:10" x14ac:dyDescent="0.3">
      <c r="A96" s="2">
        <v>45380</v>
      </c>
      <c r="B96" s="3">
        <v>2</v>
      </c>
      <c r="C96" s="3">
        <v>1</v>
      </c>
      <c r="D96">
        <v>95</v>
      </c>
      <c r="E96">
        <v>1795</v>
      </c>
      <c r="F96">
        <v>44</v>
      </c>
      <c r="G96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96" s="3">
        <f>Tableau2[[#This Row],[Vitesse de production réelle (unités/heure)]]/vitesseTheorique</f>
        <v>0.95</v>
      </c>
      <c r="I96" s="4">
        <f>(Tableau2[[#This Row],[Nombre total d''unités produites]]-Tableau2[[#This Row],[Nombre d''unités défectueuses]])/Tableau2[[#This Row],[Nombre total d''unités produites]]</f>
        <v>0.97548746518105844</v>
      </c>
      <c r="J96" s="4">
        <f>Tableau2[[#This Row],[Disponibilité]]*Tableau2[[#This Row],[Performance]]*Tableau2[[#This Row],[Qualité]]</f>
        <v>0.88458976956191437</v>
      </c>
    </row>
    <row r="97" spans="1:10" x14ac:dyDescent="0.3">
      <c r="A97" s="2">
        <v>45381</v>
      </c>
      <c r="B97" s="3">
        <v>1</v>
      </c>
      <c r="C97" s="3">
        <v>2</v>
      </c>
      <c r="D97">
        <v>85</v>
      </c>
      <c r="E97">
        <v>1744</v>
      </c>
      <c r="F97">
        <v>35</v>
      </c>
      <c r="G97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97" s="3">
        <f>Tableau2[[#This Row],[Vitesse de production réelle (unités/heure)]]/vitesseTheorique</f>
        <v>0.85</v>
      </c>
      <c r="I97" s="4">
        <f>(Tableau2[[#This Row],[Nombre total d''unités produites]]-Tableau2[[#This Row],[Nombre d''unités défectueuses]])/Tableau2[[#This Row],[Nombre total d''unités produites]]</f>
        <v>0.97993119266055051</v>
      </c>
      <c r="J97" s="4">
        <f>Tableau2[[#This Row],[Disponibilité]]*Tableau2[[#This Row],[Performance]]*Tableau2[[#This Row],[Qualité]]</f>
        <v>0.76051181691264458</v>
      </c>
    </row>
    <row r="98" spans="1:10" x14ac:dyDescent="0.3">
      <c r="A98" s="2">
        <v>45382</v>
      </c>
      <c r="B98" s="3">
        <v>2</v>
      </c>
      <c r="C98" s="3">
        <v>1</v>
      </c>
      <c r="D98">
        <v>84</v>
      </c>
      <c r="E98">
        <v>2061</v>
      </c>
      <c r="F98">
        <v>60</v>
      </c>
      <c r="G98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98" s="3">
        <f>Tableau2[[#This Row],[Vitesse de production réelle (unités/heure)]]/vitesseTheorique</f>
        <v>0.84</v>
      </c>
      <c r="I98" s="4">
        <f>(Tableau2[[#This Row],[Nombre total d''unités produites]]-Tableau2[[#This Row],[Nombre d''unités défectueuses]])/Tableau2[[#This Row],[Nombre total d''unités produites]]</f>
        <v>0.97088791848617173</v>
      </c>
      <c r="J98" s="4">
        <f>Tableau2[[#This Row],[Disponibilité]]*Tableau2[[#This Row],[Performance]]*Tableau2[[#This Row],[Qualité]]</f>
        <v>0.77847558554982144</v>
      </c>
    </row>
    <row r="99" spans="1:10" x14ac:dyDescent="0.3">
      <c r="A99" s="2">
        <v>45383</v>
      </c>
      <c r="B99" s="3">
        <v>3</v>
      </c>
      <c r="C99" s="3">
        <v>1</v>
      </c>
      <c r="D99">
        <v>99</v>
      </c>
      <c r="E99">
        <v>1879</v>
      </c>
      <c r="F99">
        <v>21</v>
      </c>
      <c r="G99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99" s="3">
        <f>Tableau2[[#This Row],[Vitesse de production réelle (unités/heure)]]/vitesseTheorique</f>
        <v>0.99</v>
      </c>
      <c r="I99" s="4">
        <f>(Tableau2[[#This Row],[Nombre total d''unités produites]]-Tableau2[[#This Row],[Nombre d''unités défectueuses]])/Tableau2[[#This Row],[Nombre total d''unités produites]]</f>
        <v>0.98882384246939858</v>
      </c>
      <c r="J99" s="4">
        <f>Tableau2[[#This Row],[Disponibilité]]*Tableau2[[#This Row],[Performance]]*Tableau2[[#This Row],[Qualité]]</f>
        <v>0.93231962289971859</v>
      </c>
    </row>
    <row r="100" spans="1:10" x14ac:dyDescent="0.3">
      <c r="A100" s="2">
        <v>45384</v>
      </c>
      <c r="B100" s="3">
        <v>1</v>
      </c>
      <c r="C100" s="3">
        <v>1</v>
      </c>
      <c r="D100">
        <v>99</v>
      </c>
      <c r="E100">
        <v>1779</v>
      </c>
      <c r="F100">
        <v>58</v>
      </c>
      <c r="G100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100" s="3">
        <f>Tableau2[[#This Row],[Vitesse de production réelle (unités/heure)]]/vitesseTheorique</f>
        <v>0.99</v>
      </c>
      <c r="I100" s="4">
        <f>(Tableau2[[#This Row],[Nombre total d''unités produites]]-Tableau2[[#This Row],[Nombre d''unités défectueuses]])/Tableau2[[#This Row],[Nombre total d''unités produites]]</f>
        <v>0.96739741427768411</v>
      </c>
      <c r="J100" s="4">
        <f>Tableau2[[#This Row],[Disponibilité]]*Tableau2[[#This Row],[Performance]]*Tableau2[[#This Row],[Qualité]]</f>
        <v>0.91608329056382443</v>
      </c>
    </row>
    <row r="101" spans="1:10" x14ac:dyDescent="0.3">
      <c r="A101" s="2">
        <v>45385</v>
      </c>
      <c r="B101" s="3">
        <v>1</v>
      </c>
      <c r="C101" s="3">
        <v>1</v>
      </c>
      <c r="D101">
        <v>99</v>
      </c>
      <c r="E101">
        <v>1746</v>
      </c>
      <c r="F101">
        <v>24</v>
      </c>
      <c r="G101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101" s="3">
        <f>Tableau2[[#This Row],[Vitesse de production réelle (unités/heure)]]/vitesseTheorique</f>
        <v>0.99</v>
      </c>
      <c r="I101" s="4">
        <f>(Tableau2[[#This Row],[Nombre total d''unités produites]]-Tableau2[[#This Row],[Nombre d''unités défectueuses]])/Tableau2[[#This Row],[Nombre total d''unités produites]]</f>
        <v>0.9862542955326461</v>
      </c>
      <c r="J101" s="4">
        <f>Tableau2[[#This Row],[Disponibilité]]*Tableau2[[#This Row],[Performance]]*Tableau2[[#This Row],[Qualité]]</f>
        <v>0.93393993724787094</v>
      </c>
    </row>
    <row r="102" spans="1:10" x14ac:dyDescent="0.3">
      <c r="A102" s="2">
        <v>45386</v>
      </c>
      <c r="B102" s="3">
        <v>3</v>
      </c>
      <c r="C102" s="3">
        <v>2</v>
      </c>
      <c r="D102">
        <v>96</v>
      </c>
      <c r="E102">
        <v>2161</v>
      </c>
      <c r="F102">
        <v>35</v>
      </c>
      <c r="G102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102" s="3">
        <f>Tableau2[[#This Row],[Vitesse de production réelle (unités/heure)]]/vitesseTheorique</f>
        <v>0.96</v>
      </c>
      <c r="I102" s="4">
        <f>(Tableau2[[#This Row],[Nombre total d''unités produites]]-Tableau2[[#This Row],[Nombre d''unités défectueuses]])/Tableau2[[#This Row],[Nombre total d''unités produites]]</f>
        <v>0.98380379453956501</v>
      </c>
      <c r="J102" s="4">
        <f>Tableau2[[#This Row],[Disponibilité]]*Tableau2[[#This Row],[Performance]]*Tableau2[[#This Row],[Qualité]]</f>
        <v>0.85450386725722216</v>
      </c>
    </row>
    <row r="103" spans="1:10" x14ac:dyDescent="0.3">
      <c r="A103" s="2">
        <v>45387</v>
      </c>
      <c r="B103" s="3">
        <v>2</v>
      </c>
      <c r="C103" s="3">
        <v>3</v>
      </c>
      <c r="D103">
        <v>86</v>
      </c>
      <c r="E103">
        <v>2022</v>
      </c>
      <c r="F103">
        <v>58</v>
      </c>
      <c r="G103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03" s="3">
        <f>Tableau2[[#This Row],[Vitesse de production réelle (unités/heure)]]/vitesseTheorique</f>
        <v>0.86</v>
      </c>
      <c r="I103" s="4">
        <f>(Tableau2[[#This Row],[Nombre total d''unités produites]]-Tableau2[[#This Row],[Nombre d''unités défectueuses]])/Tableau2[[#This Row],[Nombre total d''unités produites]]</f>
        <v>0.97131552917903063</v>
      </c>
      <c r="J103" s="4">
        <f>Tableau2[[#This Row],[Disponibilité]]*Tableau2[[#This Row],[Performance]]*Tableau2[[#This Row],[Qualité]]</f>
        <v>0.72142253394478906</v>
      </c>
    </row>
    <row r="104" spans="1:10" x14ac:dyDescent="0.3">
      <c r="A104" s="2">
        <v>45388</v>
      </c>
      <c r="B104" s="3">
        <v>2</v>
      </c>
      <c r="C104" s="3">
        <v>3</v>
      </c>
      <c r="D104">
        <v>80</v>
      </c>
      <c r="E104">
        <v>2257</v>
      </c>
      <c r="F104">
        <v>32</v>
      </c>
      <c r="G104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04" s="3">
        <f>Tableau2[[#This Row],[Vitesse de production réelle (unités/heure)]]/vitesseTheorique</f>
        <v>0.8</v>
      </c>
      <c r="I104" s="4">
        <f>(Tableau2[[#This Row],[Nombre total d''unités produites]]-Tableau2[[#This Row],[Nombre d''unités défectueuses]])/Tableau2[[#This Row],[Nombre total d''unités produites]]</f>
        <v>0.98582188746123167</v>
      </c>
      <c r="J104" s="4">
        <f>Tableau2[[#This Row],[Disponibilité]]*Tableau2[[#This Row],[Performance]]*Tableau2[[#This Row],[Qualité]]</f>
        <v>0.68111330406412374</v>
      </c>
    </row>
    <row r="105" spans="1:10" x14ac:dyDescent="0.3">
      <c r="A105" s="2">
        <v>45389</v>
      </c>
      <c r="B105" s="3">
        <v>2</v>
      </c>
      <c r="C105" s="3">
        <v>3</v>
      </c>
      <c r="D105">
        <v>91</v>
      </c>
      <c r="E105">
        <v>1788</v>
      </c>
      <c r="F105">
        <v>55</v>
      </c>
      <c r="G105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05" s="3">
        <f>Tableau2[[#This Row],[Vitesse de production réelle (unités/heure)]]/vitesseTheorique</f>
        <v>0.91</v>
      </c>
      <c r="I105" s="4">
        <f>(Tableau2[[#This Row],[Nombre total d''unités produites]]-Tableau2[[#This Row],[Nombre d''unités défectueuses]])/Tableau2[[#This Row],[Nombre total d''unités produites]]</f>
        <v>0.96923937360178969</v>
      </c>
      <c r="J105" s="4">
        <f>Tableau2[[#This Row],[Disponibilité]]*Tableau2[[#This Row],[Performance]]*Tableau2[[#This Row],[Qualité]]</f>
        <v>0.76173403498067926</v>
      </c>
    </row>
    <row r="106" spans="1:10" x14ac:dyDescent="0.3">
      <c r="A106" s="2">
        <v>45390</v>
      </c>
      <c r="B106" s="3">
        <v>3</v>
      </c>
      <c r="C106" s="3">
        <v>3</v>
      </c>
      <c r="D106">
        <v>96</v>
      </c>
      <c r="E106">
        <v>1827</v>
      </c>
      <c r="F106">
        <v>44</v>
      </c>
      <c r="G106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106" s="3">
        <f>Tableau2[[#This Row],[Vitesse de production réelle (unités/heure)]]/vitesseTheorique</f>
        <v>0.96</v>
      </c>
      <c r="I106" s="4">
        <f>(Tableau2[[#This Row],[Nombre total d''unités produites]]-Tableau2[[#This Row],[Nombre d''unités défectueuses]])/Tableau2[[#This Row],[Nombre total d''unités produites]]</f>
        <v>0.97591680350301035</v>
      </c>
      <c r="J106" s="4">
        <f>Tableau2[[#This Row],[Disponibilité]]*Tableau2[[#This Row],[Performance]]*Tableau2[[#This Row],[Qualité]]</f>
        <v>0.80304011259676267</v>
      </c>
    </row>
    <row r="107" spans="1:10" x14ac:dyDescent="0.3">
      <c r="A107" s="2">
        <v>45391</v>
      </c>
      <c r="B107" s="3">
        <v>2</v>
      </c>
      <c r="C107" s="3">
        <v>3</v>
      </c>
      <c r="D107">
        <v>88</v>
      </c>
      <c r="E107">
        <v>1873</v>
      </c>
      <c r="F107">
        <v>49</v>
      </c>
      <c r="G107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07" s="3">
        <f>Tableau2[[#This Row],[Vitesse de production réelle (unités/heure)]]/vitesseTheorique</f>
        <v>0.88</v>
      </c>
      <c r="I107" s="4">
        <f>(Tableau2[[#This Row],[Nombre total d''unités produites]]-Tableau2[[#This Row],[Nombre d''unités défectueuses]])/Tableau2[[#This Row],[Nombre total d''unités produites]]</f>
        <v>0.97383876134543512</v>
      </c>
      <c r="J107" s="4">
        <f>Tableau2[[#This Row],[Disponibilité]]*Tableau2[[#This Row],[Performance]]*Tableau2[[#This Row],[Qualité]]</f>
        <v>0.74011745862253076</v>
      </c>
    </row>
    <row r="108" spans="1:10" x14ac:dyDescent="0.3">
      <c r="A108" s="2">
        <v>45392</v>
      </c>
      <c r="B108" s="3">
        <v>2</v>
      </c>
      <c r="C108" s="3">
        <v>3</v>
      </c>
      <c r="D108">
        <v>96</v>
      </c>
      <c r="E108">
        <v>1776</v>
      </c>
      <c r="F108">
        <v>32</v>
      </c>
      <c r="G108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08" s="3">
        <f>Tableau2[[#This Row],[Vitesse de production réelle (unités/heure)]]/vitesseTheorique</f>
        <v>0.96</v>
      </c>
      <c r="I108" s="4">
        <f>(Tableau2[[#This Row],[Nombre total d''unités produites]]-Tableau2[[#This Row],[Nombre d''unités défectueuses]])/Tableau2[[#This Row],[Nombre total d''unités produites]]</f>
        <v>0.98198198198198194</v>
      </c>
      <c r="J108" s="4">
        <f>Tableau2[[#This Row],[Disponibilité]]*Tableau2[[#This Row],[Performance]]*Tableau2[[#This Row],[Qualité]]</f>
        <v>0.81415233415233412</v>
      </c>
    </row>
    <row r="109" spans="1:10" x14ac:dyDescent="0.3">
      <c r="A109" s="2">
        <v>45393</v>
      </c>
      <c r="B109" s="3">
        <v>3</v>
      </c>
      <c r="C109" s="3">
        <v>3</v>
      </c>
      <c r="D109">
        <v>91</v>
      </c>
      <c r="E109">
        <v>2060</v>
      </c>
      <c r="F109">
        <v>36</v>
      </c>
      <c r="G109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109" s="3">
        <f>Tableau2[[#This Row],[Vitesse de production réelle (unités/heure)]]/vitesseTheorique</f>
        <v>0.91</v>
      </c>
      <c r="I109" s="4">
        <f>(Tableau2[[#This Row],[Nombre total d''unités produites]]-Tableau2[[#This Row],[Nombre d''unités défectueuses]])/Tableau2[[#This Row],[Nombre total d''unités produites]]</f>
        <v>0.98252427184466018</v>
      </c>
      <c r="J109" s="4">
        <f>Tableau2[[#This Row],[Disponibilité]]*Tableau2[[#This Row],[Performance]]*Tableau2[[#This Row],[Qualité]]</f>
        <v>0.76636893203883494</v>
      </c>
    </row>
    <row r="110" spans="1:10" x14ac:dyDescent="0.3">
      <c r="A110" s="2">
        <v>45394</v>
      </c>
      <c r="B110" s="3">
        <v>1</v>
      </c>
      <c r="C110" s="3">
        <v>2</v>
      </c>
      <c r="D110">
        <v>95</v>
      </c>
      <c r="E110">
        <v>1898</v>
      </c>
      <c r="F110">
        <v>21</v>
      </c>
      <c r="G110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110" s="3">
        <f>Tableau2[[#This Row],[Vitesse de production réelle (unités/heure)]]/vitesseTheorique</f>
        <v>0.95</v>
      </c>
      <c r="I110" s="4">
        <f>(Tableau2[[#This Row],[Nombre total d''unités produites]]-Tableau2[[#This Row],[Nombre d''unités défectueuses]])/Tableau2[[#This Row],[Nombre total d''unités produites]]</f>
        <v>0.98893572181243417</v>
      </c>
      <c r="J110" s="4">
        <f>Tableau2[[#This Row],[Disponibilité]]*Tableau2[[#This Row],[Performance]]*Tableau2[[#This Row],[Qualité]]</f>
        <v>0.85779424565904605</v>
      </c>
    </row>
    <row r="111" spans="1:10" x14ac:dyDescent="0.3">
      <c r="A111" s="2">
        <v>45395</v>
      </c>
      <c r="B111" s="3">
        <v>2</v>
      </c>
      <c r="C111" s="3">
        <v>1</v>
      </c>
      <c r="D111">
        <v>85</v>
      </c>
      <c r="E111">
        <v>1917</v>
      </c>
      <c r="F111">
        <v>44</v>
      </c>
      <c r="G111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11" s="3">
        <f>Tableau2[[#This Row],[Vitesse de production réelle (unités/heure)]]/vitesseTheorique</f>
        <v>0.85</v>
      </c>
      <c r="I111" s="4">
        <f>(Tableau2[[#This Row],[Nombre total d''unités produites]]-Tableau2[[#This Row],[Nombre d''unités défectueuses]])/Tableau2[[#This Row],[Nombre total d''unités produites]]</f>
        <v>0.97704747000521652</v>
      </c>
      <c r="J111" s="4">
        <f>Tableau2[[#This Row],[Disponibilité]]*Tableau2[[#This Row],[Performance]]*Tableau2[[#This Row],[Qualité]]</f>
        <v>0.79274078816332338</v>
      </c>
    </row>
    <row r="112" spans="1:10" x14ac:dyDescent="0.3">
      <c r="A112" s="2">
        <v>45396</v>
      </c>
      <c r="B112" s="3">
        <v>2</v>
      </c>
      <c r="C112" s="3">
        <v>2</v>
      </c>
      <c r="D112">
        <v>99</v>
      </c>
      <c r="E112">
        <v>2072</v>
      </c>
      <c r="F112">
        <v>24</v>
      </c>
      <c r="G112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112" s="3">
        <f>Tableau2[[#This Row],[Vitesse de production réelle (unités/heure)]]/vitesseTheorique</f>
        <v>0.99</v>
      </c>
      <c r="I112" s="4">
        <f>(Tableau2[[#This Row],[Nombre total d''unités produites]]-Tableau2[[#This Row],[Nombre d''unités défectueuses]])/Tableau2[[#This Row],[Nombre total d''unités produites]]</f>
        <v>0.98841698841698844</v>
      </c>
      <c r="J112" s="4">
        <f>Tableau2[[#This Row],[Disponibilité]]*Tableau2[[#This Row],[Performance]]*Tableau2[[#This Row],[Qualité]]</f>
        <v>0.88957528957528953</v>
      </c>
    </row>
    <row r="113" spans="1:10" x14ac:dyDescent="0.3">
      <c r="A113" s="2">
        <v>45397</v>
      </c>
      <c r="B113" s="3">
        <v>2</v>
      </c>
      <c r="C113" s="3">
        <v>1</v>
      </c>
      <c r="D113">
        <v>85</v>
      </c>
      <c r="E113">
        <v>2078</v>
      </c>
      <c r="F113">
        <v>36</v>
      </c>
      <c r="G113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13" s="3">
        <f>Tableau2[[#This Row],[Vitesse de production réelle (unités/heure)]]/vitesseTheorique</f>
        <v>0.85</v>
      </c>
      <c r="I113" s="4">
        <f>(Tableau2[[#This Row],[Nombre total d''unités produites]]-Tableau2[[#This Row],[Nombre d''unités défectueuses]])/Tableau2[[#This Row],[Nombre total d''unités produites]]</f>
        <v>0.98267564966313758</v>
      </c>
      <c r="J113" s="4">
        <f>Tableau2[[#This Row],[Disponibilité]]*Tableau2[[#This Row],[Performance]]*Tableau2[[#This Row],[Qualité]]</f>
        <v>0.79730728847668209</v>
      </c>
    </row>
    <row r="114" spans="1:10" x14ac:dyDescent="0.3">
      <c r="A114" s="2">
        <v>45398</v>
      </c>
      <c r="B114" s="3">
        <v>3</v>
      </c>
      <c r="C114" s="3">
        <v>2</v>
      </c>
      <c r="D114">
        <v>84</v>
      </c>
      <c r="E114">
        <v>1735</v>
      </c>
      <c r="F114">
        <v>35</v>
      </c>
      <c r="G114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114" s="3">
        <f>Tableau2[[#This Row],[Vitesse de production réelle (unités/heure)]]/vitesseTheorique</f>
        <v>0.84</v>
      </c>
      <c r="I114" s="4">
        <f>(Tableau2[[#This Row],[Nombre total d''unités produites]]-Tableau2[[#This Row],[Nombre d''unités défectueuses]])/Tableau2[[#This Row],[Nombre total d''unités produites]]</f>
        <v>0.97982708933717577</v>
      </c>
      <c r="J114" s="4">
        <f>Tableau2[[#This Row],[Disponibilité]]*Tableau2[[#This Row],[Performance]]*Tableau2[[#This Row],[Qualité]]</f>
        <v>0.74466858789625356</v>
      </c>
    </row>
    <row r="115" spans="1:10" x14ac:dyDescent="0.3">
      <c r="A115" s="2">
        <v>45399</v>
      </c>
      <c r="B115" s="3">
        <v>3</v>
      </c>
      <c r="C115" s="3">
        <v>1</v>
      </c>
      <c r="D115">
        <v>99</v>
      </c>
      <c r="E115">
        <v>2168</v>
      </c>
      <c r="F115">
        <v>56</v>
      </c>
      <c r="G115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115" s="3">
        <f>Tableau2[[#This Row],[Vitesse de production réelle (unités/heure)]]/vitesseTheorique</f>
        <v>0.99</v>
      </c>
      <c r="I115" s="4">
        <f>(Tableau2[[#This Row],[Nombre total d''unités produites]]-Tableau2[[#This Row],[Nombre d''unités défectueuses]])/Tableau2[[#This Row],[Nombre total d''unités produites]]</f>
        <v>0.97416974169741699</v>
      </c>
      <c r="J115" s="4">
        <f>Tableau2[[#This Row],[Disponibilité]]*Tableau2[[#This Row],[Performance]]*Tableau2[[#This Row],[Qualité]]</f>
        <v>0.91850289931470741</v>
      </c>
    </row>
    <row r="116" spans="1:10" x14ac:dyDescent="0.3">
      <c r="A116" s="2">
        <v>45400</v>
      </c>
      <c r="B116" s="3">
        <v>1</v>
      </c>
      <c r="C116" s="3">
        <v>2</v>
      </c>
      <c r="D116">
        <v>99</v>
      </c>
      <c r="E116">
        <v>1738</v>
      </c>
      <c r="F116">
        <v>50</v>
      </c>
      <c r="G116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116" s="3">
        <f>Tableau2[[#This Row],[Vitesse de production réelle (unités/heure)]]/vitesseTheorique</f>
        <v>0.99</v>
      </c>
      <c r="I116" s="4">
        <f>(Tableau2[[#This Row],[Nombre total d''unités produites]]-Tableau2[[#This Row],[Nombre d''unités défectueuses]])/Tableau2[[#This Row],[Nombre total d''unités produites]]</f>
        <v>0.97123130034522442</v>
      </c>
      <c r="J116" s="4">
        <f>Tableau2[[#This Row],[Disponibilité]]*Tableau2[[#This Row],[Performance]]*Tableau2[[#This Row],[Qualité]]</f>
        <v>0.87790864061640062</v>
      </c>
    </row>
    <row r="117" spans="1:10" x14ac:dyDescent="0.3">
      <c r="A117" s="2">
        <v>45401</v>
      </c>
      <c r="B117" s="3">
        <v>1</v>
      </c>
      <c r="C117" s="3">
        <v>1</v>
      </c>
      <c r="D117">
        <v>80</v>
      </c>
      <c r="E117">
        <v>2089</v>
      </c>
      <c r="F117">
        <v>41</v>
      </c>
      <c r="G117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117" s="3">
        <f>Tableau2[[#This Row],[Vitesse de production réelle (unités/heure)]]/vitesseTheorique</f>
        <v>0.8</v>
      </c>
      <c r="I117" s="4">
        <f>(Tableau2[[#This Row],[Nombre total d''unités produites]]-Tableau2[[#This Row],[Nombre d''unités défectueuses]])/Tableau2[[#This Row],[Nombre total d''unités produites]]</f>
        <v>0.9803733843944471</v>
      </c>
      <c r="J117" s="4">
        <f>Tableau2[[#This Row],[Disponibilité]]*Tableau2[[#This Row],[Performance]]*Tableau2[[#This Row],[Qualité]]</f>
        <v>0.75019876371053351</v>
      </c>
    </row>
    <row r="118" spans="1:10" x14ac:dyDescent="0.3">
      <c r="A118" s="2">
        <v>45402</v>
      </c>
      <c r="B118" s="3">
        <v>2</v>
      </c>
      <c r="C118" s="3">
        <v>3</v>
      </c>
      <c r="D118">
        <v>85</v>
      </c>
      <c r="E118">
        <v>1732</v>
      </c>
      <c r="F118">
        <v>45</v>
      </c>
      <c r="G118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18" s="3">
        <f>Tableau2[[#This Row],[Vitesse de production réelle (unités/heure)]]/vitesseTheorique</f>
        <v>0.85</v>
      </c>
      <c r="I118" s="4">
        <f>(Tableau2[[#This Row],[Nombre total d''unités produites]]-Tableau2[[#This Row],[Nombre d''unités défectueuses]])/Tableau2[[#This Row],[Nombre total d''unités produites]]</f>
        <v>0.97401847575057732</v>
      </c>
      <c r="J118" s="4">
        <f>Tableau2[[#This Row],[Disponibilité]]*Tableau2[[#This Row],[Performance]]*Tableau2[[#This Row],[Qualité]]</f>
        <v>0.71501810833508295</v>
      </c>
    </row>
    <row r="119" spans="1:10" x14ac:dyDescent="0.3">
      <c r="A119" s="2">
        <v>45403</v>
      </c>
      <c r="B119" s="3">
        <v>2</v>
      </c>
      <c r="C119" s="3">
        <v>2</v>
      </c>
      <c r="D119">
        <v>97</v>
      </c>
      <c r="E119">
        <v>1939</v>
      </c>
      <c r="F119">
        <v>37</v>
      </c>
      <c r="G119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119" s="3">
        <f>Tableau2[[#This Row],[Vitesse de production réelle (unités/heure)]]/vitesseTheorique</f>
        <v>0.97</v>
      </c>
      <c r="I119" s="4">
        <f>(Tableau2[[#This Row],[Nombre total d''unités produites]]-Tableau2[[#This Row],[Nombre d''unités défectueuses]])/Tableau2[[#This Row],[Nombre total d''unités produites]]</f>
        <v>0.98091799896854048</v>
      </c>
      <c r="J119" s="4">
        <f>Tableau2[[#This Row],[Disponibilité]]*Tableau2[[#This Row],[Performance]]*Tableau2[[#This Row],[Qualité]]</f>
        <v>0.86499132636316745</v>
      </c>
    </row>
    <row r="120" spans="1:10" x14ac:dyDescent="0.3">
      <c r="A120" s="2">
        <v>45404</v>
      </c>
      <c r="B120" s="3">
        <v>1</v>
      </c>
      <c r="C120" s="3">
        <v>3</v>
      </c>
      <c r="D120">
        <v>89</v>
      </c>
      <c r="E120">
        <v>1848</v>
      </c>
      <c r="F120">
        <v>26</v>
      </c>
      <c r="G120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120" s="3">
        <f>Tableau2[[#This Row],[Vitesse de production réelle (unités/heure)]]/vitesseTheorique</f>
        <v>0.89</v>
      </c>
      <c r="I120" s="4">
        <f>(Tableau2[[#This Row],[Nombre total d''unités produites]]-Tableau2[[#This Row],[Nombre d''unités défectueuses]])/Tableau2[[#This Row],[Nombre total d''unités produites]]</f>
        <v>0.98593073593073588</v>
      </c>
      <c r="J120" s="4">
        <f>Tableau2[[#This Row],[Disponibilité]]*Tableau2[[#This Row],[Performance]]*Tableau2[[#This Row],[Qualité]]</f>
        <v>0.76302465650291729</v>
      </c>
    </row>
    <row r="121" spans="1:10" x14ac:dyDescent="0.3">
      <c r="A121" s="2">
        <v>45405</v>
      </c>
      <c r="B121" s="3">
        <v>1</v>
      </c>
      <c r="C121" s="3">
        <v>1</v>
      </c>
      <c r="D121">
        <v>85</v>
      </c>
      <c r="E121">
        <v>1832</v>
      </c>
      <c r="F121">
        <v>60</v>
      </c>
      <c r="G121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121" s="3">
        <f>Tableau2[[#This Row],[Vitesse de production réelle (unités/heure)]]/vitesseTheorique</f>
        <v>0.85</v>
      </c>
      <c r="I121" s="4">
        <f>(Tableau2[[#This Row],[Nombre total d''unités produites]]-Tableau2[[#This Row],[Nombre d''unités défectueuses]])/Tableau2[[#This Row],[Nombre total d''unités produites]]</f>
        <v>0.96724890829694321</v>
      </c>
      <c r="J121" s="4">
        <f>Tableau2[[#This Row],[Disponibilité]]*Tableau2[[#This Row],[Performance]]*Tableau2[[#This Row],[Qualité]]</f>
        <v>0.78641541674577553</v>
      </c>
    </row>
    <row r="122" spans="1:10" x14ac:dyDescent="0.3">
      <c r="A122" s="2">
        <v>45406</v>
      </c>
      <c r="B122" s="3">
        <v>2</v>
      </c>
      <c r="C122" s="3">
        <v>1</v>
      </c>
      <c r="D122">
        <v>92</v>
      </c>
      <c r="E122">
        <v>2050</v>
      </c>
      <c r="F122">
        <v>51</v>
      </c>
      <c r="G122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22" s="3">
        <f>Tableau2[[#This Row],[Vitesse de production réelle (unités/heure)]]/vitesseTheorique</f>
        <v>0.92</v>
      </c>
      <c r="I122" s="4">
        <f>(Tableau2[[#This Row],[Nombre total d''unités produites]]-Tableau2[[#This Row],[Nombre d''unités défectueuses]])/Tableau2[[#This Row],[Nombre total d''unités produites]]</f>
        <v>0.97512195121951217</v>
      </c>
      <c r="J122" s="4">
        <f>Tableau2[[#This Row],[Disponibilité]]*Tableau2[[#This Row],[Performance]]*Tableau2[[#This Row],[Qualité]]</f>
        <v>0.85633436807095353</v>
      </c>
    </row>
    <row r="123" spans="1:10" x14ac:dyDescent="0.3">
      <c r="A123" s="2">
        <v>45407</v>
      </c>
      <c r="B123" s="3">
        <v>3</v>
      </c>
      <c r="C123" s="3">
        <v>3</v>
      </c>
      <c r="D123">
        <v>85</v>
      </c>
      <c r="E123">
        <v>2136</v>
      </c>
      <c r="F123">
        <v>43</v>
      </c>
      <c r="G123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123" s="3">
        <f>Tableau2[[#This Row],[Vitesse de production réelle (unités/heure)]]/vitesseTheorique</f>
        <v>0.85</v>
      </c>
      <c r="I123" s="4">
        <f>(Tableau2[[#This Row],[Nombre total d''unités produites]]-Tableau2[[#This Row],[Nombre d''unités défectueuses]])/Tableau2[[#This Row],[Nombre total d''unités produites]]</f>
        <v>0.97986891385767794</v>
      </c>
      <c r="J123" s="4">
        <f>Tableau2[[#This Row],[Disponibilité]]*Tableau2[[#This Row],[Performance]]*Tableau2[[#This Row],[Qualité]]</f>
        <v>0.71390449438202241</v>
      </c>
    </row>
    <row r="124" spans="1:10" x14ac:dyDescent="0.3">
      <c r="A124" s="2">
        <v>45408</v>
      </c>
      <c r="B124" s="3">
        <v>2</v>
      </c>
      <c r="C124" s="3">
        <v>1</v>
      </c>
      <c r="D124">
        <v>86</v>
      </c>
      <c r="E124">
        <v>1981</v>
      </c>
      <c r="F124">
        <v>47</v>
      </c>
      <c r="G124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24" s="3">
        <f>Tableau2[[#This Row],[Vitesse de production réelle (unités/heure)]]/vitesseTheorique</f>
        <v>0.86</v>
      </c>
      <c r="I124" s="4">
        <f>(Tableau2[[#This Row],[Nombre total d''unités produites]]-Tableau2[[#This Row],[Nombre d''unités défectueuses]])/Tableau2[[#This Row],[Nombre total d''unités produites]]</f>
        <v>0.97627460878344274</v>
      </c>
      <c r="J124" s="4">
        <f>Tableau2[[#This Row],[Disponibilité]]*Tableau2[[#This Row],[Performance]]*Tableau2[[#This Row],[Qualité]]</f>
        <v>0.80143270157404434</v>
      </c>
    </row>
    <row r="125" spans="1:10" x14ac:dyDescent="0.3">
      <c r="A125" s="2">
        <v>45409</v>
      </c>
      <c r="B125" s="3">
        <v>1</v>
      </c>
      <c r="C125" s="3">
        <v>3</v>
      </c>
      <c r="D125">
        <v>87</v>
      </c>
      <c r="E125">
        <v>1749</v>
      </c>
      <c r="F125">
        <v>49</v>
      </c>
      <c r="G125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125" s="3">
        <f>Tableau2[[#This Row],[Vitesse de production réelle (unités/heure)]]/vitesseTheorique</f>
        <v>0.87</v>
      </c>
      <c r="I125" s="4">
        <f>(Tableau2[[#This Row],[Nombre total d''unités produites]]-Tableau2[[#This Row],[Nombre d''unités défectueuses]])/Tableau2[[#This Row],[Nombre total d''unités produites]]</f>
        <v>0.97198399085191534</v>
      </c>
      <c r="J125" s="4">
        <f>Tableau2[[#This Row],[Disponibilité]]*Tableau2[[#This Row],[Performance]]*Tableau2[[#This Row],[Qualité]]</f>
        <v>0.73532701916623155</v>
      </c>
    </row>
    <row r="126" spans="1:10" x14ac:dyDescent="0.3">
      <c r="A126" s="2">
        <v>45410</v>
      </c>
      <c r="B126" s="3">
        <v>3</v>
      </c>
      <c r="C126" s="3">
        <v>3</v>
      </c>
      <c r="D126">
        <v>85</v>
      </c>
      <c r="E126">
        <v>1825</v>
      </c>
      <c r="F126">
        <v>22</v>
      </c>
      <c r="G126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126" s="3">
        <f>Tableau2[[#This Row],[Vitesse de production réelle (unités/heure)]]/vitesseTheorique</f>
        <v>0.85</v>
      </c>
      <c r="I126" s="4">
        <f>(Tableau2[[#This Row],[Nombre total d''unités produites]]-Tableau2[[#This Row],[Nombre d''unités défectueuses]])/Tableau2[[#This Row],[Nombre total d''unités produites]]</f>
        <v>0.98794520547945208</v>
      </c>
      <c r="J126" s="4">
        <f>Tableau2[[#This Row],[Disponibilité]]*Tableau2[[#This Row],[Performance]]*Tableau2[[#This Row],[Qualité]]</f>
        <v>0.71978864970645795</v>
      </c>
    </row>
    <row r="127" spans="1:10" x14ac:dyDescent="0.3">
      <c r="A127" s="2">
        <v>45411</v>
      </c>
      <c r="B127" s="3">
        <v>3</v>
      </c>
      <c r="C127" s="3">
        <v>2</v>
      </c>
      <c r="D127">
        <v>82</v>
      </c>
      <c r="E127">
        <v>1831</v>
      </c>
      <c r="F127">
        <v>59</v>
      </c>
      <c r="G127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127" s="3">
        <f>Tableau2[[#This Row],[Vitesse de production réelle (unités/heure)]]/vitesseTheorique</f>
        <v>0.82</v>
      </c>
      <c r="I127" s="4">
        <f>(Tableau2[[#This Row],[Nombre total d''unités produites]]-Tableau2[[#This Row],[Nombre d''unités défectueuses]])/Tableau2[[#This Row],[Nombre total d''unités produites]]</f>
        <v>0.96777717094483884</v>
      </c>
      <c r="J127" s="4">
        <f>Tableau2[[#This Row],[Disponibilité]]*Tableau2[[#This Row],[Performance]]*Tableau2[[#This Row],[Qualité]]</f>
        <v>0.71799849158669471</v>
      </c>
    </row>
    <row r="128" spans="1:10" x14ac:dyDescent="0.3">
      <c r="A128" s="2">
        <v>45412</v>
      </c>
      <c r="B128" s="3">
        <v>1</v>
      </c>
      <c r="C128" s="3">
        <v>3</v>
      </c>
      <c r="D128">
        <v>87</v>
      </c>
      <c r="E128">
        <v>1918</v>
      </c>
      <c r="F128">
        <v>32</v>
      </c>
      <c r="G128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128" s="3">
        <f>Tableau2[[#This Row],[Vitesse de production réelle (unités/heure)]]/vitesseTheorique</f>
        <v>0.87</v>
      </c>
      <c r="I128" s="4">
        <f>(Tableau2[[#This Row],[Nombre total d''unités produites]]-Tableau2[[#This Row],[Nombre d''unités défectueuses]])/Tableau2[[#This Row],[Nombre total d''unités produites]]</f>
        <v>0.98331595411887385</v>
      </c>
      <c r="J128" s="4">
        <f>Tableau2[[#This Row],[Disponibilité]]*Tableau2[[#This Row],[Performance]]*Tableau2[[#This Row],[Qualité]]</f>
        <v>0.74389989572471327</v>
      </c>
    </row>
    <row r="129" spans="1:10" x14ac:dyDescent="0.3">
      <c r="A129" s="2">
        <v>45413</v>
      </c>
      <c r="B129" s="3">
        <v>1</v>
      </c>
      <c r="C129" s="3">
        <v>1</v>
      </c>
      <c r="D129">
        <v>84</v>
      </c>
      <c r="E129">
        <v>2051</v>
      </c>
      <c r="F129">
        <v>33</v>
      </c>
      <c r="G129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129" s="3">
        <f>Tableau2[[#This Row],[Vitesse de production réelle (unités/heure)]]/vitesseTheorique</f>
        <v>0.84</v>
      </c>
      <c r="I129" s="4">
        <f>(Tableau2[[#This Row],[Nombre total d''unités produites]]-Tableau2[[#This Row],[Nombre d''unités défectueuses]])/Tableau2[[#This Row],[Nombre total d''unités produites]]</f>
        <v>0.98391028766455391</v>
      </c>
      <c r="J129" s="4">
        <f>Tableau2[[#This Row],[Disponibilité]]*Tableau2[[#This Row],[Performance]]*Tableau2[[#This Row],[Qualité]]</f>
        <v>0.79055052678438942</v>
      </c>
    </row>
    <row r="130" spans="1:10" x14ac:dyDescent="0.3">
      <c r="A130" s="2">
        <v>45414</v>
      </c>
      <c r="B130" s="3">
        <v>2</v>
      </c>
      <c r="C130" s="3">
        <v>3</v>
      </c>
      <c r="D130">
        <v>91</v>
      </c>
      <c r="E130">
        <v>1819</v>
      </c>
      <c r="F130">
        <v>41</v>
      </c>
      <c r="G130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30" s="3">
        <f>Tableau2[[#This Row],[Vitesse de production réelle (unités/heure)]]/vitesseTheorique</f>
        <v>0.91</v>
      </c>
      <c r="I130" s="4">
        <f>(Tableau2[[#This Row],[Nombre total d''unités produites]]-Tableau2[[#This Row],[Nombre d''unités défectueuses]])/Tableau2[[#This Row],[Nombre total d''unités produites]]</f>
        <v>0.97746014293567896</v>
      </c>
      <c r="J130" s="4">
        <f>Tableau2[[#This Row],[Disponibilité]]*Tableau2[[#This Row],[Performance]]*Tableau2[[#This Row],[Qualité]]</f>
        <v>0.76819481233444953</v>
      </c>
    </row>
    <row r="131" spans="1:10" x14ac:dyDescent="0.3">
      <c r="A131" s="2">
        <v>45415</v>
      </c>
      <c r="B131" s="3">
        <v>1</v>
      </c>
      <c r="C131" s="3">
        <v>1</v>
      </c>
      <c r="D131">
        <v>95</v>
      </c>
      <c r="E131">
        <v>1813</v>
      </c>
      <c r="F131">
        <v>45</v>
      </c>
      <c r="G131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131" s="3">
        <f>Tableau2[[#This Row],[Vitesse de production réelle (unités/heure)]]/vitesseTheorique</f>
        <v>0.95</v>
      </c>
      <c r="I131" s="4">
        <f>(Tableau2[[#This Row],[Nombre total d''unités produites]]-Tableau2[[#This Row],[Nombre d''unités défectueuses]])/Tableau2[[#This Row],[Nombre total d''unités produites]]</f>
        <v>0.97517926089354656</v>
      </c>
      <c r="J131" s="4">
        <f>Tableau2[[#This Row],[Disponibilité]]*Tableau2[[#This Row],[Performance]]*Tableau2[[#This Row],[Qualité]]</f>
        <v>0.88614115446413577</v>
      </c>
    </row>
    <row r="132" spans="1:10" x14ac:dyDescent="0.3">
      <c r="A132" s="2">
        <v>45416</v>
      </c>
      <c r="B132" s="3">
        <v>2</v>
      </c>
      <c r="C132" s="3">
        <v>2</v>
      </c>
      <c r="D132">
        <v>98</v>
      </c>
      <c r="E132">
        <v>1905</v>
      </c>
      <c r="F132">
        <v>37</v>
      </c>
      <c r="G132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132" s="3">
        <f>Tableau2[[#This Row],[Vitesse de production réelle (unités/heure)]]/vitesseTheorique</f>
        <v>0.98</v>
      </c>
      <c r="I132" s="4">
        <f>(Tableau2[[#This Row],[Nombre total d''unités produites]]-Tableau2[[#This Row],[Nombre d''unités défectueuses]])/Tableau2[[#This Row],[Nombre total d''unités produites]]</f>
        <v>0.98057742782152235</v>
      </c>
      <c r="J132" s="4">
        <f>Tableau2[[#This Row],[Disponibilité]]*Tableau2[[#This Row],[Performance]]*Tableau2[[#This Row],[Qualité]]</f>
        <v>0.87360534478644714</v>
      </c>
    </row>
    <row r="133" spans="1:10" x14ac:dyDescent="0.3">
      <c r="A133" s="2">
        <v>45417</v>
      </c>
      <c r="B133" s="3">
        <v>1</v>
      </c>
      <c r="C133" s="3">
        <v>2</v>
      </c>
      <c r="D133">
        <v>80</v>
      </c>
      <c r="E133">
        <v>2130</v>
      </c>
      <c r="F133">
        <v>45</v>
      </c>
      <c r="G133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133" s="3">
        <f>Tableau2[[#This Row],[Vitesse de production réelle (unités/heure)]]/vitesseTheorique</f>
        <v>0.8</v>
      </c>
      <c r="I133" s="4">
        <f>(Tableau2[[#This Row],[Nombre total d''unités produites]]-Tableau2[[#This Row],[Nombre d''unités défectueuses]])/Tableau2[[#This Row],[Nombre total d''unités produites]]</f>
        <v>0.97887323943661975</v>
      </c>
      <c r="J133" s="4">
        <f>Tableau2[[#This Row],[Disponibilité]]*Tableau2[[#This Row],[Performance]]*Tableau2[[#This Row],[Qualité]]</f>
        <v>0.71500306184935702</v>
      </c>
    </row>
    <row r="134" spans="1:10" x14ac:dyDescent="0.3">
      <c r="A134" s="2">
        <v>45418</v>
      </c>
      <c r="B134" s="3">
        <v>1</v>
      </c>
      <c r="C134" s="3">
        <v>1</v>
      </c>
      <c r="D134">
        <v>84</v>
      </c>
      <c r="E134">
        <v>1729</v>
      </c>
      <c r="F134">
        <v>30</v>
      </c>
      <c r="G134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134" s="3">
        <f>Tableau2[[#This Row],[Vitesse de production réelle (unités/heure)]]/vitesseTheorique</f>
        <v>0.84</v>
      </c>
      <c r="I134" s="4">
        <f>(Tableau2[[#This Row],[Nombre total d''unités produites]]-Tableau2[[#This Row],[Nombre d''unités défectueuses]])/Tableau2[[#This Row],[Nombre total d''unités produites]]</f>
        <v>0.9826489300173511</v>
      </c>
      <c r="J134" s="4">
        <f>Tableau2[[#This Row],[Disponibilité]]*Tableau2[[#This Row],[Performance]]*Tableau2[[#This Row],[Qualité]]</f>
        <v>0.78953705333568036</v>
      </c>
    </row>
    <row r="135" spans="1:10" x14ac:dyDescent="0.3">
      <c r="A135" s="2">
        <v>45419</v>
      </c>
      <c r="B135" s="3">
        <v>2</v>
      </c>
      <c r="C135" s="3">
        <v>1</v>
      </c>
      <c r="D135">
        <v>80</v>
      </c>
      <c r="E135">
        <v>1861</v>
      </c>
      <c r="F135">
        <v>30</v>
      </c>
      <c r="G135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35" s="3">
        <f>Tableau2[[#This Row],[Vitesse de production réelle (unités/heure)]]/vitesseTheorique</f>
        <v>0.8</v>
      </c>
      <c r="I135" s="4">
        <f>(Tableau2[[#This Row],[Nombre total d''unités produites]]-Tableau2[[#This Row],[Nombre d''unités défectueuses]])/Tableau2[[#This Row],[Nombre total d''unités produites]]</f>
        <v>0.98387963460505101</v>
      </c>
      <c r="J135" s="4">
        <f>Tableau2[[#This Row],[Disponibilité]]*Tableau2[[#This Row],[Performance]]*Tableau2[[#This Row],[Qualité]]</f>
        <v>0.75132626642567535</v>
      </c>
    </row>
    <row r="136" spans="1:10" x14ac:dyDescent="0.3">
      <c r="A136" s="2">
        <v>45420</v>
      </c>
      <c r="B136" s="3">
        <v>2</v>
      </c>
      <c r="C136" s="3">
        <v>1</v>
      </c>
      <c r="D136">
        <v>100</v>
      </c>
      <c r="E136">
        <v>1881</v>
      </c>
      <c r="F136">
        <v>36</v>
      </c>
      <c r="G136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36" s="3">
        <f>Tableau2[[#This Row],[Vitesse de production réelle (unités/heure)]]/vitesseTheorique</f>
        <v>1</v>
      </c>
      <c r="I136" s="4">
        <f>(Tableau2[[#This Row],[Nombre total d''unités produites]]-Tableau2[[#This Row],[Nombre d''unités défectueuses]])/Tableau2[[#This Row],[Nombre total d''unités produites]]</f>
        <v>0.98086124401913877</v>
      </c>
      <c r="J136" s="4">
        <f>Tableau2[[#This Row],[Disponibilité]]*Tableau2[[#This Row],[Performance]]*Tableau2[[#This Row],[Qualité]]</f>
        <v>0.93627664201826888</v>
      </c>
    </row>
    <row r="137" spans="1:10" x14ac:dyDescent="0.3">
      <c r="A137" s="2">
        <v>45421</v>
      </c>
      <c r="B137" s="3">
        <v>2</v>
      </c>
      <c r="C137" s="3">
        <v>2</v>
      </c>
      <c r="D137">
        <v>92</v>
      </c>
      <c r="E137">
        <v>1808</v>
      </c>
      <c r="F137">
        <v>45</v>
      </c>
      <c r="G137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137" s="3">
        <f>Tableau2[[#This Row],[Vitesse de production réelle (unités/heure)]]/vitesseTheorique</f>
        <v>0.92</v>
      </c>
      <c r="I137" s="4">
        <f>(Tableau2[[#This Row],[Nombre total d''unités produites]]-Tableau2[[#This Row],[Nombre d''unités défectueuses]])/Tableau2[[#This Row],[Nombre total d''unités produites]]</f>
        <v>0.97511061946902655</v>
      </c>
      <c r="J137" s="4">
        <f>Tableau2[[#This Row],[Disponibilité]]*Tableau2[[#This Row],[Performance]]*Tableau2[[#This Row],[Qualité]]</f>
        <v>0.81554706355591322</v>
      </c>
    </row>
    <row r="138" spans="1:10" x14ac:dyDescent="0.3">
      <c r="A138" s="2">
        <v>45422</v>
      </c>
      <c r="B138" s="3">
        <v>2</v>
      </c>
      <c r="C138" s="3">
        <v>3</v>
      </c>
      <c r="D138">
        <v>83</v>
      </c>
      <c r="E138">
        <v>1700</v>
      </c>
      <c r="F138">
        <v>27</v>
      </c>
      <c r="G138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38" s="3">
        <f>Tableau2[[#This Row],[Vitesse de production réelle (unités/heure)]]/vitesseTheorique</f>
        <v>0.83</v>
      </c>
      <c r="I138" s="4">
        <f>(Tableau2[[#This Row],[Nombre total d''unités produites]]-Tableau2[[#This Row],[Nombre d''unités défectueuses]])/Tableau2[[#This Row],[Nombre total d''unités produites]]</f>
        <v>0.98411764705882354</v>
      </c>
      <c r="J138" s="4">
        <f>Tableau2[[#This Row],[Disponibilité]]*Tableau2[[#This Row],[Performance]]*Tableau2[[#This Row],[Qualité]]</f>
        <v>0.70543342245989304</v>
      </c>
    </row>
    <row r="139" spans="1:10" x14ac:dyDescent="0.3">
      <c r="A139" s="2">
        <v>45423</v>
      </c>
      <c r="B139" s="3">
        <v>2</v>
      </c>
      <c r="C139" s="3">
        <v>2</v>
      </c>
      <c r="D139">
        <v>97</v>
      </c>
      <c r="E139">
        <v>1911</v>
      </c>
      <c r="F139">
        <v>27</v>
      </c>
      <c r="G139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139" s="3">
        <f>Tableau2[[#This Row],[Vitesse de production réelle (unités/heure)]]/vitesseTheorique</f>
        <v>0.97</v>
      </c>
      <c r="I139" s="4">
        <f>(Tableau2[[#This Row],[Nombre total d''unités produites]]-Tableau2[[#This Row],[Nombre d''unités défectueuses]])/Tableau2[[#This Row],[Nombre total d''unités produites]]</f>
        <v>0.98587127158555732</v>
      </c>
      <c r="J139" s="4">
        <f>Tableau2[[#This Row],[Disponibilité]]*Tableau2[[#This Row],[Performance]]*Tableau2[[#This Row],[Qualité]]</f>
        <v>0.86935921221635504</v>
      </c>
    </row>
    <row r="140" spans="1:10" x14ac:dyDescent="0.3">
      <c r="A140" s="2">
        <v>45424</v>
      </c>
      <c r="B140" s="3">
        <v>2</v>
      </c>
      <c r="C140" s="3">
        <v>3</v>
      </c>
      <c r="D140">
        <v>97</v>
      </c>
      <c r="E140">
        <v>2111</v>
      </c>
      <c r="F140">
        <v>57</v>
      </c>
      <c r="G140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40" s="3">
        <f>Tableau2[[#This Row],[Vitesse de production réelle (unités/heure)]]/vitesseTheorique</f>
        <v>0.97</v>
      </c>
      <c r="I140" s="4">
        <f>(Tableau2[[#This Row],[Nombre total d''unités produites]]-Tableau2[[#This Row],[Nombre d''unités défectueuses]])/Tableau2[[#This Row],[Nombre total d''unités produites]]</f>
        <v>0.97299857887257224</v>
      </c>
      <c r="J140" s="4">
        <f>Tableau2[[#This Row],[Disponibilité]]*Tableau2[[#This Row],[Performance]]*Tableau2[[#This Row],[Qualité]]</f>
        <v>0.81510744584643213</v>
      </c>
    </row>
    <row r="141" spans="1:10" x14ac:dyDescent="0.3">
      <c r="A141" s="2">
        <v>45425</v>
      </c>
      <c r="B141" s="3">
        <v>1</v>
      </c>
      <c r="C141" s="3">
        <v>1</v>
      </c>
      <c r="D141">
        <v>91</v>
      </c>
      <c r="E141">
        <v>2253</v>
      </c>
      <c r="F141">
        <v>54</v>
      </c>
      <c r="G141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141" s="3">
        <f>Tableau2[[#This Row],[Vitesse de production réelle (unités/heure)]]/vitesseTheorique</f>
        <v>0.91</v>
      </c>
      <c r="I141" s="4">
        <f>(Tableau2[[#This Row],[Nombre total d''unités produites]]-Tableau2[[#This Row],[Nombre d''unités défectueuses]])/Tableau2[[#This Row],[Nombre total d''unités produites]]</f>
        <v>0.97603195739014648</v>
      </c>
      <c r="J141" s="4">
        <f>Tableau2[[#This Row],[Disponibilité]]*Tableau2[[#This Row],[Performance]]*Tableau2[[#This Row],[Qualité]]</f>
        <v>0.84957216465003182</v>
      </c>
    </row>
    <row r="142" spans="1:10" x14ac:dyDescent="0.3">
      <c r="A142" s="2">
        <v>45426</v>
      </c>
      <c r="B142" s="3">
        <v>2</v>
      </c>
      <c r="C142" s="3">
        <v>3</v>
      </c>
      <c r="D142">
        <v>87</v>
      </c>
      <c r="E142">
        <v>2239</v>
      </c>
      <c r="F142">
        <v>35</v>
      </c>
      <c r="G142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42" s="3">
        <f>Tableau2[[#This Row],[Vitesse de production réelle (unités/heure)]]/vitesseTheorique</f>
        <v>0.87</v>
      </c>
      <c r="I142" s="4">
        <f>(Tableau2[[#This Row],[Nombre total d''unités produites]]-Tableau2[[#This Row],[Nombre d''unités défectueuses]])/Tableau2[[#This Row],[Nombre total d''unités produites]]</f>
        <v>0.98436802143814206</v>
      </c>
      <c r="J142" s="4">
        <f>Tableau2[[#This Row],[Disponibilité]]*Tableau2[[#This Row],[Performance]]*Tableau2[[#This Row],[Qualité]]</f>
        <v>0.73961833610784034</v>
      </c>
    </row>
    <row r="143" spans="1:10" x14ac:dyDescent="0.3">
      <c r="A143" s="2">
        <v>45427</v>
      </c>
      <c r="B143" s="3">
        <v>2</v>
      </c>
      <c r="C143" s="3">
        <v>1</v>
      </c>
      <c r="D143">
        <v>91</v>
      </c>
      <c r="E143">
        <v>1941</v>
      </c>
      <c r="F143">
        <v>28</v>
      </c>
      <c r="G143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43" s="3">
        <f>Tableau2[[#This Row],[Vitesse de production réelle (unités/heure)]]/vitesseTheorique</f>
        <v>0.91</v>
      </c>
      <c r="I143" s="4">
        <f>(Tableau2[[#This Row],[Nombre total d''unités produites]]-Tableau2[[#This Row],[Nombre d''unités défectueuses]])/Tableau2[[#This Row],[Nombre total d''unités produites]]</f>
        <v>0.98557444616177226</v>
      </c>
      <c r="J143" s="4">
        <f>Tableau2[[#This Row],[Disponibilité]]*Tableau2[[#This Row],[Performance]]*Tableau2[[#This Row],[Qualité]]</f>
        <v>0.85610580300688488</v>
      </c>
    </row>
    <row r="144" spans="1:10" x14ac:dyDescent="0.3">
      <c r="A144" s="2">
        <v>45428</v>
      </c>
      <c r="B144" s="3">
        <v>1</v>
      </c>
      <c r="C144" s="3">
        <v>3</v>
      </c>
      <c r="D144">
        <v>94</v>
      </c>
      <c r="E144">
        <v>2084</v>
      </c>
      <c r="F144">
        <v>39</v>
      </c>
      <c r="G144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144" s="3">
        <f>Tableau2[[#This Row],[Vitesse de production réelle (unités/heure)]]/vitesseTheorique</f>
        <v>0.94</v>
      </c>
      <c r="I144" s="4">
        <f>(Tableau2[[#This Row],[Nombre total d''unités produites]]-Tableau2[[#This Row],[Nombre d''unités défectueuses]])/Tableau2[[#This Row],[Nombre total d''unités produites]]</f>
        <v>0.9812859884836852</v>
      </c>
      <c r="J144" s="4">
        <f>Tableau2[[#This Row],[Disponibilité]]*Tableau2[[#This Row],[Performance]]*Tableau2[[#This Row],[Qualité]]</f>
        <v>0.8020946340649252</v>
      </c>
    </row>
    <row r="145" spans="1:10" x14ac:dyDescent="0.3">
      <c r="A145" s="2">
        <v>45429</v>
      </c>
      <c r="B145" s="3">
        <v>1</v>
      </c>
      <c r="C145" s="3">
        <v>3</v>
      </c>
      <c r="D145">
        <v>92</v>
      </c>
      <c r="E145">
        <v>1901</v>
      </c>
      <c r="F145">
        <v>39</v>
      </c>
      <c r="G145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145" s="3">
        <f>Tableau2[[#This Row],[Vitesse de production réelle (unités/heure)]]/vitesseTheorique</f>
        <v>0.92</v>
      </c>
      <c r="I145" s="4">
        <f>(Tableau2[[#This Row],[Nombre total d''unités produites]]-Tableau2[[#This Row],[Nombre d''unités défectueuses]])/Tableau2[[#This Row],[Nombre total d''unités produites]]</f>
        <v>0.97948448185165704</v>
      </c>
      <c r="J145" s="4">
        <f>Tableau2[[#This Row],[Disponibilité]]*Tableau2[[#This Row],[Performance]]*Tableau2[[#This Row],[Qualité]]</f>
        <v>0.78358758548132568</v>
      </c>
    </row>
    <row r="146" spans="1:10" x14ac:dyDescent="0.3">
      <c r="A146" s="2">
        <v>45430</v>
      </c>
      <c r="B146" s="3">
        <v>2</v>
      </c>
      <c r="C146" s="3">
        <v>2</v>
      </c>
      <c r="D146">
        <v>100</v>
      </c>
      <c r="E146">
        <v>1936</v>
      </c>
      <c r="F146">
        <v>38</v>
      </c>
      <c r="G146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146" s="3">
        <f>Tableau2[[#This Row],[Vitesse de production réelle (unités/heure)]]/vitesseTheorique</f>
        <v>1</v>
      </c>
      <c r="I146" s="4">
        <f>(Tableau2[[#This Row],[Nombre total d''unités produites]]-Tableau2[[#This Row],[Nombre d''unités défectueuses]])/Tableau2[[#This Row],[Nombre total d''unités produites]]</f>
        <v>0.98037190082644632</v>
      </c>
      <c r="J146" s="4">
        <f>Tableau2[[#This Row],[Disponibilité]]*Tableau2[[#This Row],[Performance]]*Tableau2[[#This Row],[Qualité]]</f>
        <v>0.89124718256949664</v>
      </c>
    </row>
    <row r="147" spans="1:10" x14ac:dyDescent="0.3">
      <c r="A147" s="2">
        <v>45431</v>
      </c>
      <c r="B147" s="3">
        <v>2</v>
      </c>
      <c r="C147" s="3">
        <v>2</v>
      </c>
      <c r="D147">
        <v>81</v>
      </c>
      <c r="E147">
        <v>2104</v>
      </c>
      <c r="F147">
        <v>38</v>
      </c>
      <c r="G147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147" s="3">
        <f>Tableau2[[#This Row],[Vitesse de production réelle (unités/heure)]]/vitesseTheorique</f>
        <v>0.81</v>
      </c>
      <c r="I147" s="4">
        <f>(Tableau2[[#This Row],[Nombre total d''unités produites]]-Tableau2[[#This Row],[Nombre d''unités défectueuses]])/Tableau2[[#This Row],[Nombre total d''unités produites]]</f>
        <v>0.98193916349809884</v>
      </c>
      <c r="J147" s="4">
        <f>Tableau2[[#This Row],[Disponibilité]]*Tableau2[[#This Row],[Performance]]*Tableau2[[#This Row],[Qualité]]</f>
        <v>0.72306429312132736</v>
      </c>
    </row>
    <row r="148" spans="1:10" x14ac:dyDescent="0.3">
      <c r="A148" s="2">
        <v>45432</v>
      </c>
      <c r="B148" s="3">
        <v>1</v>
      </c>
      <c r="C148" s="3">
        <v>3</v>
      </c>
      <c r="D148">
        <v>96</v>
      </c>
      <c r="E148">
        <v>1782</v>
      </c>
      <c r="F148">
        <v>29</v>
      </c>
      <c r="G148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148" s="3">
        <f>Tableau2[[#This Row],[Vitesse de production réelle (unités/heure)]]/vitesseTheorique</f>
        <v>0.96</v>
      </c>
      <c r="I148" s="4">
        <f>(Tableau2[[#This Row],[Nombre total d''unités produites]]-Tableau2[[#This Row],[Nombre d''unités défectueuses]])/Tableau2[[#This Row],[Nombre total d''unités produites]]</f>
        <v>0.98372615039281708</v>
      </c>
      <c r="J148" s="4">
        <f>Tableau2[[#This Row],[Disponibilité]]*Tableau2[[#This Row],[Performance]]*Tableau2[[#This Row],[Qualité]]</f>
        <v>0.82119748206704724</v>
      </c>
    </row>
    <row r="149" spans="1:10" x14ac:dyDescent="0.3">
      <c r="A149" s="2">
        <v>45433</v>
      </c>
      <c r="B149" s="3">
        <v>1</v>
      </c>
      <c r="C149" s="3">
        <v>3</v>
      </c>
      <c r="D149">
        <v>99</v>
      </c>
      <c r="E149">
        <v>1888</v>
      </c>
      <c r="F149">
        <v>34</v>
      </c>
      <c r="G149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149" s="3">
        <f>Tableau2[[#This Row],[Vitesse de production réelle (unités/heure)]]/vitesseTheorique</f>
        <v>0.99</v>
      </c>
      <c r="I149" s="4">
        <f>(Tableau2[[#This Row],[Nombre total d''unités produites]]-Tableau2[[#This Row],[Nombre d''unités défectueuses]])/Tableau2[[#This Row],[Nombre total d''unités produites]]</f>
        <v>0.98199152542372881</v>
      </c>
      <c r="J149" s="4">
        <f>Tableau2[[#This Row],[Disponibilité]]*Tableau2[[#This Row],[Performance]]*Tableau2[[#This Row],[Qualité]]</f>
        <v>0.84536661753868825</v>
      </c>
    </row>
    <row r="150" spans="1:10" x14ac:dyDescent="0.3">
      <c r="A150" s="2">
        <v>45434</v>
      </c>
      <c r="B150" s="3">
        <v>2</v>
      </c>
      <c r="C150" s="3">
        <v>3</v>
      </c>
      <c r="D150">
        <v>81</v>
      </c>
      <c r="E150">
        <v>2015</v>
      </c>
      <c r="F150">
        <v>22</v>
      </c>
      <c r="G150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50" s="3">
        <f>Tableau2[[#This Row],[Vitesse de production réelle (unités/heure)]]/vitesseTheorique</f>
        <v>0.81</v>
      </c>
      <c r="I150" s="4">
        <f>(Tableau2[[#This Row],[Nombre total d''unités produites]]-Tableau2[[#This Row],[Nombre d''unités défectueuses]])/Tableau2[[#This Row],[Nombre total d''unités produites]]</f>
        <v>0.98908188585607937</v>
      </c>
      <c r="J150" s="4">
        <f>Tableau2[[#This Row],[Disponibilité]]*Tableau2[[#This Row],[Performance]]*Tableau2[[#This Row],[Qualité]]</f>
        <v>0.69190773742386646</v>
      </c>
    </row>
    <row r="151" spans="1:10" x14ac:dyDescent="0.3">
      <c r="A151" s="2">
        <v>45435</v>
      </c>
      <c r="B151" s="3">
        <v>3</v>
      </c>
      <c r="C151" s="3">
        <v>3</v>
      </c>
      <c r="D151">
        <v>86</v>
      </c>
      <c r="E151">
        <v>2164</v>
      </c>
      <c r="F151">
        <v>26</v>
      </c>
      <c r="G151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151" s="3">
        <f>Tableau2[[#This Row],[Vitesse de production réelle (unités/heure)]]/vitesseTheorique</f>
        <v>0.86</v>
      </c>
      <c r="I151" s="4">
        <f>(Tableau2[[#This Row],[Nombre total d''unités produites]]-Tableau2[[#This Row],[Nombre d''unités défectueuses]])/Tableau2[[#This Row],[Nombre total d''unités produites]]</f>
        <v>0.98798521256931604</v>
      </c>
      <c r="J151" s="4">
        <f>Tableau2[[#This Row],[Disponibilité]]*Tableau2[[#This Row],[Performance]]*Tableau2[[#This Row],[Qualité]]</f>
        <v>0.72828624240823869</v>
      </c>
    </row>
    <row r="152" spans="1:10" x14ac:dyDescent="0.3">
      <c r="A152" s="2">
        <v>45436</v>
      </c>
      <c r="B152" s="3">
        <v>2</v>
      </c>
      <c r="C152" s="3">
        <v>3</v>
      </c>
      <c r="D152">
        <v>84</v>
      </c>
      <c r="E152">
        <v>2198</v>
      </c>
      <c r="F152">
        <v>36</v>
      </c>
      <c r="G152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52" s="3">
        <f>Tableau2[[#This Row],[Vitesse de production réelle (unités/heure)]]/vitesseTheorique</f>
        <v>0.84</v>
      </c>
      <c r="I152" s="4">
        <f>(Tableau2[[#This Row],[Nombre total d''unités produites]]-Tableau2[[#This Row],[Nombre d''unités défectueuses]])/Tableau2[[#This Row],[Nombre total d''unités produites]]</f>
        <v>0.98362147406733391</v>
      </c>
      <c r="J152" s="4">
        <f>Tableau2[[#This Row],[Disponibilité]]*Tableau2[[#This Row],[Performance]]*Tableau2[[#This Row],[Qualité]]</f>
        <v>0.71357266936884767</v>
      </c>
    </row>
    <row r="153" spans="1:10" x14ac:dyDescent="0.3">
      <c r="A153" s="2">
        <v>45437</v>
      </c>
      <c r="B153" s="3">
        <v>2</v>
      </c>
      <c r="C153" s="3">
        <v>1</v>
      </c>
      <c r="D153">
        <v>97</v>
      </c>
      <c r="E153">
        <v>2044</v>
      </c>
      <c r="F153">
        <v>50</v>
      </c>
      <c r="G153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53" s="3">
        <f>Tableau2[[#This Row],[Vitesse de production réelle (unités/heure)]]/vitesseTheorique</f>
        <v>0.97</v>
      </c>
      <c r="I153" s="4">
        <f>(Tableau2[[#This Row],[Nombre total d''unités produites]]-Tableau2[[#This Row],[Nombre d''unités défectueuses]])/Tableau2[[#This Row],[Nombre total d''unités produites]]</f>
        <v>0.97553816046966735</v>
      </c>
      <c r="J153" s="4">
        <f>Tableau2[[#This Row],[Disponibilité]]*Tableau2[[#This Row],[Performance]]*Tableau2[[#This Row],[Qualité]]</f>
        <v>0.90325965130759656</v>
      </c>
    </row>
    <row r="154" spans="1:10" x14ac:dyDescent="0.3">
      <c r="A154" s="2">
        <v>45438</v>
      </c>
      <c r="B154" s="3">
        <v>1</v>
      </c>
      <c r="C154" s="3">
        <v>2</v>
      </c>
      <c r="D154">
        <v>91</v>
      </c>
      <c r="E154">
        <v>1945</v>
      </c>
      <c r="F154">
        <v>37</v>
      </c>
      <c r="G154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154" s="3">
        <f>Tableau2[[#This Row],[Vitesse de production réelle (unités/heure)]]/vitesseTheorique</f>
        <v>0.91</v>
      </c>
      <c r="I154" s="4">
        <f>(Tableau2[[#This Row],[Nombre total d''unités produites]]-Tableau2[[#This Row],[Nombre d''unités défectueuses]])/Tableau2[[#This Row],[Nombre total d''unités produites]]</f>
        <v>0.98097686375321336</v>
      </c>
      <c r="J154" s="4">
        <f>Tableau2[[#This Row],[Disponibilité]]*Tableau2[[#This Row],[Performance]]*Tableau2[[#This Row],[Qualité]]</f>
        <v>0.8150638202749525</v>
      </c>
    </row>
    <row r="155" spans="1:10" x14ac:dyDescent="0.3">
      <c r="A155" s="2">
        <v>45439</v>
      </c>
      <c r="B155" s="3">
        <v>1</v>
      </c>
      <c r="C155" s="3">
        <v>1</v>
      </c>
      <c r="D155">
        <v>97</v>
      </c>
      <c r="E155">
        <v>2172</v>
      </c>
      <c r="F155">
        <v>52</v>
      </c>
      <c r="G155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155" s="3">
        <f>Tableau2[[#This Row],[Vitesse de production réelle (unités/heure)]]/vitesseTheorique</f>
        <v>0.97</v>
      </c>
      <c r="I155" s="4">
        <f>(Tableau2[[#This Row],[Nombre total d''unités produites]]-Tableau2[[#This Row],[Nombre d''unités défectueuses]])/Tableau2[[#This Row],[Nombre total d''unités produites]]</f>
        <v>0.97605893186003678</v>
      </c>
      <c r="J155" s="4">
        <f>Tableau2[[#This Row],[Disponibilité]]*Tableau2[[#This Row],[Performance]]*Tableau2[[#This Row],[Qualité]]</f>
        <v>0.90561293938666021</v>
      </c>
    </row>
    <row r="156" spans="1:10" x14ac:dyDescent="0.3">
      <c r="A156" s="2">
        <v>45440</v>
      </c>
      <c r="B156" s="3">
        <v>2</v>
      </c>
      <c r="C156" s="3">
        <v>1</v>
      </c>
      <c r="D156">
        <v>88</v>
      </c>
      <c r="E156">
        <v>1772</v>
      </c>
      <c r="F156">
        <v>54</v>
      </c>
      <c r="G156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56" s="3">
        <f>Tableau2[[#This Row],[Vitesse de production réelle (unités/heure)]]/vitesseTheorique</f>
        <v>0.88</v>
      </c>
      <c r="I156" s="4">
        <f>(Tableau2[[#This Row],[Nombre total d''unités produites]]-Tableau2[[#This Row],[Nombre d''unités défectueuses]])/Tableau2[[#This Row],[Nombre total d''unités produites]]</f>
        <v>0.96952595936794583</v>
      </c>
      <c r="J156" s="4">
        <f>Tableau2[[#This Row],[Disponibilité]]*Tableau2[[#This Row],[Performance]]*Tableau2[[#This Row],[Qualité]]</f>
        <v>0.81440180586907462</v>
      </c>
    </row>
    <row r="157" spans="1:10" x14ac:dyDescent="0.3">
      <c r="A157" s="2">
        <v>45441</v>
      </c>
      <c r="B157" s="3">
        <v>2</v>
      </c>
      <c r="C157" s="3">
        <v>1</v>
      </c>
      <c r="D157">
        <v>87</v>
      </c>
      <c r="E157">
        <v>1878</v>
      </c>
      <c r="F157">
        <v>56</v>
      </c>
      <c r="G157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57" s="3">
        <f>Tableau2[[#This Row],[Vitesse de production réelle (unités/heure)]]/vitesseTheorique</f>
        <v>0.87</v>
      </c>
      <c r="I157" s="4">
        <f>(Tableau2[[#This Row],[Nombre total d''unités produites]]-Tableau2[[#This Row],[Nombre d''unités défectueuses]])/Tableau2[[#This Row],[Nombre total d''unités produites]]</f>
        <v>0.9701810436634718</v>
      </c>
      <c r="J157" s="4">
        <f>Tableau2[[#This Row],[Disponibilité]]*Tableau2[[#This Row],[Performance]]*Tableau2[[#This Row],[Qualité]]</f>
        <v>0.80569125762416494</v>
      </c>
    </row>
    <row r="158" spans="1:10" x14ac:dyDescent="0.3">
      <c r="A158" s="2">
        <v>45442</v>
      </c>
      <c r="B158" s="3">
        <v>2</v>
      </c>
      <c r="C158" s="3">
        <v>3</v>
      </c>
      <c r="D158">
        <v>88</v>
      </c>
      <c r="E158">
        <v>2020</v>
      </c>
      <c r="F158">
        <v>60</v>
      </c>
      <c r="G158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58" s="3">
        <f>Tableau2[[#This Row],[Vitesse de production réelle (unités/heure)]]/vitesseTheorique</f>
        <v>0.88</v>
      </c>
      <c r="I158" s="4">
        <f>(Tableau2[[#This Row],[Nombre total d''unités produites]]-Tableau2[[#This Row],[Nombre d''unités défectueuses]])/Tableau2[[#This Row],[Nombre total d''unités produites]]</f>
        <v>0.97029702970297027</v>
      </c>
      <c r="J158" s="4">
        <f>Tableau2[[#This Row],[Disponibilité]]*Tableau2[[#This Row],[Performance]]*Tableau2[[#This Row],[Qualité]]</f>
        <v>0.73742574257425741</v>
      </c>
    </row>
    <row r="159" spans="1:10" x14ac:dyDescent="0.3">
      <c r="A159" s="2">
        <v>45443</v>
      </c>
      <c r="B159" s="3">
        <v>3</v>
      </c>
      <c r="C159" s="3">
        <v>2</v>
      </c>
      <c r="D159">
        <v>100</v>
      </c>
      <c r="E159">
        <v>1918</v>
      </c>
      <c r="F159">
        <v>60</v>
      </c>
      <c r="G159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159" s="3">
        <f>Tableau2[[#This Row],[Vitesse de production réelle (unités/heure)]]/vitesseTheorique</f>
        <v>1</v>
      </c>
      <c r="I159" s="4">
        <f>(Tableau2[[#This Row],[Nombre total d''unités produites]]-Tableau2[[#This Row],[Nombre d''unités défectueuses]])/Tableau2[[#This Row],[Nombre total d''unités produites]]</f>
        <v>0.96871741397288846</v>
      </c>
      <c r="J159" s="4">
        <f>Tableau2[[#This Row],[Disponibilité]]*Tableau2[[#This Row],[Performance]]*Tableau2[[#This Row],[Qualité]]</f>
        <v>0.8764586126421372</v>
      </c>
    </row>
    <row r="160" spans="1:10" x14ac:dyDescent="0.3">
      <c r="A160" s="2">
        <v>45444</v>
      </c>
      <c r="B160" s="3">
        <v>2</v>
      </c>
      <c r="C160" s="3">
        <v>1</v>
      </c>
      <c r="D160">
        <v>97</v>
      </c>
      <c r="E160">
        <v>2040</v>
      </c>
      <c r="F160">
        <v>28</v>
      </c>
      <c r="G160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60" s="3">
        <f>Tableau2[[#This Row],[Vitesse de production réelle (unités/heure)]]/vitesseTheorique</f>
        <v>0.97</v>
      </c>
      <c r="I160" s="4">
        <f>(Tableau2[[#This Row],[Nombre total d''unités produites]]-Tableau2[[#This Row],[Nombre d''unités défectueuses]])/Tableau2[[#This Row],[Nombre total d''unités produites]]</f>
        <v>0.98627450980392162</v>
      </c>
      <c r="J160" s="4">
        <f>Tableau2[[#This Row],[Disponibilité]]*Tableau2[[#This Row],[Performance]]*Tableau2[[#This Row],[Qualité]]</f>
        <v>0.91320053475935836</v>
      </c>
    </row>
    <row r="161" spans="1:10" x14ac:dyDescent="0.3">
      <c r="A161" s="2">
        <v>45445</v>
      </c>
      <c r="B161" s="3">
        <v>2</v>
      </c>
      <c r="C161" s="3">
        <v>1</v>
      </c>
      <c r="D161">
        <v>83</v>
      </c>
      <c r="E161">
        <v>2198</v>
      </c>
      <c r="F161">
        <v>58</v>
      </c>
      <c r="G161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61" s="3">
        <f>Tableau2[[#This Row],[Vitesse de production réelle (unités/heure)]]/vitesseTheorique</f>
        <v>0.83</v>
      </c>
      <c r="I161" s="4">
        <f>(Tableau2[[#This Row],[Nombre total d''unités produites]]-Tableau2[[#This Row],[Nombre d''unités défectueuses]])/Tableau2[[#This Row],[Nombre total d''unités produites]]</f>
        <v>0.97361237488626029</v>
      </c>
      <c r="J161" s="4">
        <f>Tableau2[[#This Row],[Disponibilité]]*Tableau2[[#This Row],[Performance]]*Tableau2[[#This Row],[Qualité]]</f>
        <v>0.77136653155761437</v>
      </c>
    </row>
    <row r="162" spans="1:10" x14ac:dyDescent="0.3">
      <c r="A162" s="2">
        <v>45446</v>
      </c>
      <c r="B162" s="3">
        <v>3</v>
      </c>
      <c r="C162" s="3">
        <v>2</v>
      </c>
      <c r="D162">
        <v>83</v>
      </c>
      <c r="E162">
        <v>1705</v>
      </c>
      <c r="F162">
        <v>43</v>
      </c>
      <c r="G162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162" s="3">
        <f>Tableau2[[#This Row],[Vitesse de production réelle (unités/heure)]]/vitesseTheorique</f>
        <v>0.83</v>
      </c>
      <c r="I162" s="4">
        <f>(Tableau2[[#This Row],[Nombre total d''unités produites]]-Tableau2[[#This Row],[Nombre d''unités défectueuses]])/Tableau2[[#This Row],[Nombre total d''unités produites]]</f>
        <v>0.97478005865102635</v>
      </c>
      <c r="J162" s="4">
        <f>Tableau2[[#This Row],[Disponibilité]]*Tableau2[[#This Row],[Performance]]*Tableau2[[#This Row],[Qualité]]</f>
        <v>0.73201340594888975</v>
      </c>
    </row>
    <row r="163" spans="1:10" x14ac:dyDescent="0.3">
      <c r="A163" s="2">
        <v>45447</v>
      </c>
      <c r="B163" s="3">
        <v>2</v>
      </c>
      <c r="C163" s="3">
        <v>1</v>
      </c>
      <c r="D163">
        <v>91</v>
      </c>
      <c r="E163">
        <v>2093</v>
      </c>
      <c r="F163">
        <v>55</v>
      </c>
      <c r="G163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63" s="3">
        <f>Tableau2[[#This Row],[Vitesse de production réelle (unités/heure)]]/vitesseTheorique</f>
        <v>0.91</v>
      </c>
      <c r="I163" s="4">
        <f>(Tableau2[[#This Row],[Nombre total d''unités produites]]-Tableau2[[#This Row],[Nombre d''unités défectueuses]])/Tableau2[[#This Row],[Nombre total d''unités produites]]</f>
        <v>0.97372193024366938</v>
      </c>
      <c r="J163" s="4">
        <f>Tableau2[[#This Row],[Disponibilité]]*Tableau2[[#This Row],[Performance]]*Tableau2[[#This Row],[Qualité]]</f>
        <v>0.84581027667984188</v>
      </c>
    </row>
    <row r="164" spans="1:10" x14ac:dyDescent="0.3">
      <c r="A164" s="2">
        <v>45448</v>
      </c>
      <c r="B164" s="3">
        <v>1</v>
      </c>
      <c r="C164" s="3">
        <v>1</v>
      </c>
      <c r="D164">
        <v>82</v>
      </c>
      <c r="E164">
        <v>1883</v>
      </c>
      <c r="F164">
        <v>41</v>
      </c>
      <c r="G164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164" s="3">
        <f>Tableau2[[#This Row],[Vitesse de production réelle (unités/heure)]]/vitesseTheorique</f>
        <v>0.82</v>
      </c>
      <c r="I164" s="4">
        <f>(Tableau2[[#This Row],[Nombre total d''unités produites]]-Tableau2[[#This Row],[Nombre d''unités défectueuses]])/Tableau2[[#This Row],[Nombre total d''unités produites]]</f>
        <v>0.97822623473181092</v>
      </c>
      <c r="J164" s="4">
        <f>Tableau2[[#This Row],[Disponibilité]]*Tableau2[[#This Row],[Performance]]*Tableau2[[#This Row],[Qualité]]</f>
        <v>0.76726962063312476</v>
      </c>
    </row>
    <row r="165" spans="1:10" x14ac:dyDescent="0.3">
      <c r="A165" s="2">
        <v>45449</v>
      </c>
      <c r="B165" s="3">
        <v>2</v>
      </c>
      <c r="C165" s="3">
        <v>1</v>
      </c>
      <c r="D165">
        <v>96</v>
      </c>
      <c r="E165">
        <v>2052</v>
      </c>
      <c r="F165">
        <v>37</v>
      </c>
      <c r="G165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65" s="3">
        <f>Tableau2[[#This Row],[Vitesse de production réelle (unités/heure)]]/vitesseTheorique</f>
        <v>0.96</v>
      </c>
      <c r="I165" s="4">
        <f>(Tableau2[[#This Row],[Nombre total d''unités produites]]-Tableau2[[#This Row],[Nombre d''unités défectueuses]])/Tableau2[[#This Row],[Nombre total d''unités produites]]</f>
        <v>0.98196881091617938</v>
      </c>
      <c r="J165" s="4">
        <f>Tableau2[[#This Row],[Disponibilité]]*Tableau2[[#This Row],[Performance]]*Tableau2[[#This Row],[Qualité]]</f>
        <v>0.89984051036682622</v>
      </c>
    </row>
    <row r="166" spans="1:10" x14ac:dyDescent="0.3">
      <c r="A166" s="2">
        <v>45450</v>
      </c>
      <c r="B166" s="3">
        <v>3</v>
      </c>
      <c r="C166" s="3">
        <v>1</v>
      </c>
      <c r="D166">
        <v>88</v>
      </c>
      <c r="E166">
        <v>1998</v>
      </c>
      <c r="F166">
        <v>29</v>
      </c>
      <c r="G166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166" s="3">
        <f>Tableau2[[#This Row],[Vitesse de production réelle (unités/heure)]]/vitesseTheorique</f>
        <v>0.88</v>
      </c>
      <c r="I166" s="4">
        <f>(Tableau2[[#This Row],[Nombre total d''unités produites]]-Tableau2[[#This Row],[Nombre d''unités défectueuses]])/Tableau2[[#This Row],[Nombre total d''unités produites]]</f>
        <v>0.98548548548548554</v>
      </c>
      <c r="J166" s="4">
        <f>Tableau2[[#This Row],[Disponibilité]]*Tableau2[[#This Row],[Performance]]*Tableau2[[#This Row],[Qualité]]</f>
        <v>0.82593069259735918</v>
      </c>
    </row>
    <row r="167" spans="1:10" x14ac:dyDescent="0.3">
      <c r="A167" s="2">
        <v>45451</v>
      </c>
      <c r="B167" s="3">
        <v>3</v>
      </c>
      <c r="C167" s="3">
        <v>1</v>
      </c>
      <c r="D167">
        <v>90</v>
      </c>
      <c r="E167">
        <v>2140</v>
      </c>
      <c r="F167">
        <v>35</v>
      </c>
      <c r="G167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167" s="3">
        <f>Tableau2[[#This Row],[Vitesse de production réelle (unités/heure)]]/vitesseTheorique</f>
        <v>0.9</v>
      </c>
      <c r="I167" s="4">
        <f>(Tableau2[[#This Row],[Nombre total d''unités produites]]-Tableau2[[#This Row],[Nombre d''unités défectueuses]])/Tableau2[[#This Row],[Nombre total d''unités produites]]</f>
        <v>0.98364485981308414</v>
      </c>
      <c r="J167" s="4">
        <f>Tableau2[[#This Row],[Disponibilité]]*Tableau2[[#This Row],[Performance]]*Tableau2[[#This Row],[Qualité]]</f>
        <v>0.8431241655540721</v>
      </c>
    </row>
    <row r="168" spans="1:10" x14ac:dyDescent="0.3">
      <c r="A168" s="2">
        <v>45452</v>
      </c>
      <c r="B168" s="3">
        <v>3</v>
      </c>
      <c r="C168" s="3">
        <v>3</v>
      </c>
      <c r="D168">
        <v>88</v>
      </c>
      <c r="E168">
        <v>2031</v>
      </c>
      <c r="F168">
        <v>48</v>
      </c>
      <c r="G168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168" s="3">
        <f>Tableau2[[#This Row],[Vitesse de production réelle (unités/heure)]]/vitesseTheorique</f>
        <v>0.88</v>
      </c>
      <c r="I168" s="4">
        <f>(Tableau2[[#This Row],[Nombre total d''unités produites]]-Tableau2[[#This Row],[Nombre d''unités défectueuses]])/Tableau2[[#This Row],[Nombre total d''unités produites]]</f>
        <v>0.97636632200886264</v>
      </c>
      <c r="J168" s="4">
        <f>Tableau2[[#This Row],[Disponibilité]]*Tableau2[[#This Row],[Performance]]*Tableau2[[#This Row],[Qualité]]</f>
        <v>0.7364591686009706</v>
      </c>
    </row>
    <row r="169" spans="1:10" x14ac:dyDescent="0.3">
      <c r="A169" s="2">
        <v>45453</v>
      </c>
      <c r="B169" s="3">
        <v>2</v>
      </c>
      <c r="C169" s="3">
        <v>1</v>
      </c>
      <c r="D169">
        <v>96</v>
      </c>
      <c r="E169">
        <v>1894</v>
      </c>
      <c r="F169">
        <v>45</v>
      </c>
      <c r="G169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69" s="3">
        <f>Tableau2[[#This Row],[Vitesse de production réelle (unités/heure)]]/vitesseTheorique</f>
        <v>0.96</v>
      </c>
      <c r="I169" s="4">
        <f>(Tableau2[[#This Row],[Nombre total d''unités produites]]-Tableau2[[#This Row],[Nombre d''unités défectueuses]])/Tableau2[[#This Row],[Nombre total d''unités produites]]</f>
        <v>0.97624076029567053</v>
      </c>
      <c r="J169" s="4">
        <f>Tableau2[[#This Row],[Disponibilité]]*Tableau2[[#This Row],[Performance]]*Tableau2[[#This Row],[Qualité]]</f>
        <v>0.89459153307094175</v>
      </c>
    </row>
    <row r="170" spans="1:10" x14ac:dyDescent="0.3">
      <c r="A170" s="2">
        <v>45454</v>
      </c>
      <c r="B170" s="3">
        <v>2</v>
      </c>
      <c r="C170" s="3">
        <v>3</v>
      </c>
      <c r="D170">
        <v>84</v>
      </c>
      <c r="E170">
        <v>1724</v>
      </c>
      <c r="F170">
        <v>43</v>
      </c>
      <c r="G170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70" s="3">
        <f>Tableau2[[#This Row],[Vitesse de production réelle (unités/heure)]]/vitesseTheorique</f>
        <v>0.84</v>
      </c>
      <c r="I170" s="4">
        <f>(Tableau2[[#This Row],[Nombre total d''unités produites]]-Tableau2[[#This Row],[Nombre d''unités défectueuses]])/Tableau2[[#This Row],[Nombre total d''unités produites]]</f>
        <v>0.97505800464037118</v>
      </c>
      <c r="J170" s="4">
        <f>Tableau2[[#This Row],[Disponibilité]]*Tableau2[[#This Row],[Performance]]*Tableau2[[#This Row],[Qualité]]</f>
        <v>0.70736026154819653</v>
      </c>
    </row>
    <row r="171" spans="1:10" x14ac:dyDescent="0.3">
      <c r="A171" s="2">
        <v>45455</v>
      </c>
      <c r="B171" s="3">
        <v>2</v>
      </c>
      <c r="C171" s="3">
        <v>2</v>
      </c>
      <c r="D171">
        <v>91</v>
      </c>
      <c r="E171">
        <v>1901</v>
      </c>
      <c r="F171">
        <v>49</v>
      </c>
      <c r="G171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171" s="3">
        <f>Tableau2[[#This Row],[Vitesse de production réelle (unités/heure)]]/vitesseTheorique</f>
        <v>0.91</v>
      </c>
      <c r="I171" s="4">
        <f>(Tableau2[[#This Row],[Nombre total d''unités produites]]-Tableau2[[#This Row],[Nombre d''unités défectueuses]])/Tableau2[[#This Row],[Nombre total d''unités produites]]</f>
        <v>0.97422409258285114</v>
      </c>
      <c r="J171" s="4">
        <f>Tableau2[[#This Row],[Disponibilité]]*Tableau2[[#This Row],[Performance]]*Tableau2[[#This Row],[Qualité]]</f>
        <v>0.8059490220458132</v>
      </c>
    </row>
    <row r="172" spans="1:10" x14ac:dyDescent="0.3">
      <c r="A172" s="2">
        <v>45456</v>
      </c>
      <c r="B172" s="3">
        <v>3</v>
      </c>
      <c r="C172" s="3">
        <v>1</v>
      </c>
      <c r="D172">
        <v>84</v>
      </c>
      <c r="E172">
        <v>2198</v>
      </c>
      <c r="F172">
        <v>25</v>
      </c>
      <c r="G172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172" s="3">
        <f>Tableau2[[#This Row],[Vitesse de production réelle (unités/heure)]]/vitesseTheorique</f>
        <v>0.84</v>
      </c>
      <c r="I172" s="4">
        <f>(Tableau2[[#This Row],[Nombre total d''unités produites]]-Tableau2[[#This Row],[Nombre d''unités défectueuses]])/Tableau2[[#This Row],[Nombre total d''unités produites]]</f>
        <v>0.98862602365787078</v>
      </c>
      <c r="J172" s="4">
        <f>Tableau2[[#This Row],[Disponibilité]]*Tableau2[[#This Row],[Performance]]*Tableau2[[#This Row],[Qualité]]</f>
        <v>0.7909008189262966</v>
      </c>
    </row>
    <row r="173" spans="1:10" x14ac:dyDescent="0.3">
      <c r="A173" s="2">
        <v>45457</v>
      </c>
      <c r="B173" s="3">
        <v>3</v>
      </c>
      <c r="C173" s="3">
        <v>3</v>
      </c>
      <c r="D173">
        <v>82</v>
      </c>
      <c r="E173">
        <v>2056</v>
      </c>
      <c r="F173">
        <v>44</v>
      </c>
      <c r="G173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173" s="3">
        <f>Tableau2[[#This Row],[Vitesse de production réelle (unités/heure)]]/vitesseTheorique</f>
        <v>0.82</v>
      </c>
      <c r="I173" s="4">
        <f>(Tableau2[[#This Row],[Nombre total d''unités produites]]-Tableau2[[#This Row],[Nombre d''unités défectueuses]])/Tableau2[[#This Row],[Nombre total d''unités produites]]</f>
        <v>0.97859922178988323</v>
      </c>
      <c r="J173" s="4">
        <f>Tableau2[[#This Row],[Disponibilité]]*Tableau2[[#This Row],[Performance]]*Tableau2[[#This Row],[Qualité]]</f>
        <v>0.68781545302946068</v>
      </c>
    </row>
    <row r="174" spans="1:10" x14ac:dyDescent="0.3">
      <c r="A174" s="2">
        <v>45458</v>
      </c>
      <c r="B174" s="3">
        <v>1</v>
      </c>
      <c r="C174" s="3">
        <v>3</v>
      </c>
      <c r="D174">
        <v>92</v>
      </c>
      <c r="E174">
        <v>1890</v>
      </c>
      <c r="F174">
        <v>55</v>
      </c>
      <c r="G174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174" s="3">
        <f>Tableau2[[#This Row],[Vitesse de production réelle (unités/heure)]]/vitesseTheorique</f>
        <v>0.92</v>
      </c>
      <c r="I174" s="4">
        <f>(Tableau2[[#This Row],[Nombre total d''unités produites]]-Tableau2[[#This Row],[Nombre d''unités défectueuses]])/Tableau2[[#This Row],[Nombre total d''unités produites]]</f>
        <v>0.97089947089947093</v>
      </c>
      <c r="J174" s="4">
        <f>Tableau2[[#This Row],[Disponibilité]]*Tableau2[[#This Row],[Performance]]*Tableau2[[#This Row],[Qualité]]</f>
        <v>0.77671957671957681</v>
      </c>
    </row>
    <row r="175" spans="1:10" x14ac:dyDescent="0.3">
      <c r="A175" s="2">
        <v>45459</v>
      </c>
      <c r="B175" s="3">
        <v>3</v>
      </c>
      <c r="C175" s="3">
        <v>2</v>
      </c>
      <c r="D175">
        <v>90</v>
      </c>
      <c r="E175">
        <v>2048</v>
      </c>
      <c r="F175">
        <v>52</v>
      </c>
      <c r="G175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175" s="3">
        <f>Tableau2[[#This Row],[Vitesse de production réelle (unités/heure)]]/vitesseTheorique</f>
        <v>0.9</v>
      </c>
      <c r="I175" s="4">
        <f>(Tableau2[[#This Row],[Nombre total d''unités produites]]-Tableau2[[#This Row],[Nombre d''unités défectueuses]])/Tableau2[[#This Row],[Nombre total d''unités produites]]</f>
        <v>0.974609375</v>
      </c>
      <c r="J175" s="4">
        <f>Tableau2[[#This Row],[Disponibilité]]*Tableau2[[#This Row],[Performance]]*Tableau2[[#This Row],[Qualité]]</f>
        <v>0.79361049107142856</v>
      </c>
    </row>
    <row r="176" spans="1:10" x14ac:dyDescent="0.3">
      <c r="A176" s="2">
        <v>45460</v>
      </c>
      <c r="B176" s="3">
        <v>1</v>
      </c>
      <c r="C176" s="3">
        <v>1</v>
      </c>
      <c r="D176">
        <v>93</v>
      </c>
      <c r="E176">
        <v>2182</v>
      </c>
      <c r="F176">
        <v>55</v>
      </c>
      <c r="G176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176" s="3">
        <f>Tableau2[[#This Row],[Vitesse de production réelle (unités/heure)]]/vitesseTheorique</f>
        <v>0.93</v>
      </c>
      <c r="I176" s="4">
        <f>(Tableau2[[#This Row],[Nombre total d''unités produites]]-Tableau2[[#This Row],[Nombre d''unités défectueuses]])/Tableau2[[#This Row],[Nombre total d''unités produites]]</f>
        <v>0.97479376718606781</v>
      </c>
      <c r="J176" s="4">
        <f>Tableau2[[#This Row],[Disponibilité]]*Tableau2[[#This Row],[Performance]]*Tableau2[[#This Row],[Qualité]]</f>
        <v>0.86714262941856302</v>
      </c>
    </row>
    <row r="177" spans="1:10" x14ac:dyDescent="0.3">
      <c r="A177" s="2">
        <v>45461</v>
      </c>
      <c r="B177" s="3">
        <v>1</v>
      </c>
      <c r="C177" s="3">
        <v>2</v>
      </c>
      <c r="D177">
        <v>85</v>
      </c>
      <c r="E177">
        <v>1789</v>
      </c>
      <c r="F177">
        <v>52</v>
      </c>
      <c r="G177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177" s="3">
        <f>Tableau2[[#This Row],[Vitesse de production réelle (unités/heure)]]/vitesseTheorique</f>
        <v>0.85</v>
      </c>
      <c r="I177" s="4">
        <f>(Tableau2[[#This Row],[Nombre total d''unités produites]]-Tableau2[[#This Row],[Nombre d''unités défectueuses]])/Tableau2[[#This Row],[Nombre total d''unités produites]]</f>
        <v>0.97093348239239796</v>
      </c>
      <c r="J177" s="4">
        <f>Tableau2[[#This Row],[Disponibilité]]*Tableau2[[#This Row],[Performance]]*Tableau2[[#This Row],[Qualité]]</f>
        <v>0.75352881133496974</v>
      </c>
    </row>
    <row r="178" spans="1:10" x14ac:dyDescent="0.3">
      <c r="A178" s="2">
        <v>45462</v>
      </c>
      <c r="B178" s="3">
        <v>1</v>
      </c>
      <c r="C178" s="3">
        <v>1</v>
      </c>
      <c r="D178">
        <v>87</v>
      </c>
      <c r="E178">
        <v>2280</v>
      </c>
      <c r="F178">
        <v>56</v>
      </c>
      <c r="G178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178" s="3">
        <f>Tableau2[[#This Row],[Vitesse de production réelle (unités/heure)]]/vitesseTheorique</f>
        <v>0.87</v>
      </c>
      <c r="I178" s="4">
        <f>(Tableau2[[#This Row],[Nombre total d''unités produites]]-Tableau2[[#This Row],[Nombre d''unités défectueuses]])/Tableau2[[#This Row],[Nombre total d''unités produites]]</f>
        <v>0.9754385964912281</v>
      </c>
      <c r="J178" s="4">
        <f>Tableau2[[#This Row],[Disponibilité]]*Tableau2[[#This Row],[Performance]]*Tableau2[[#This Row],[Qualité]]</f>
        <v>0.81173455377574377</v>
      </c>
    </row>
    <row r="179" spans="1:10" x14ac:dyDescent="0.3">
      <c r="A179" s="2">
        <v>45463</v>
      </c>
      <c r="B179" s="3">
        <v>2</v>
      </c>
      <c r="C179" s="3">
        <v>2</v>
      </c>
      <c r="D179">
        <v>96</v>
      </c>
      <c r="E179">
        <v>2072</v>
      </c>
      <c r="F179">
        <v>44</v>
      </c>
      <c r="G179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179" s="3">
        <f>Tableau2[[#This Row],[Vitesse de production réelle (unités/heure)]]/vitesseTheorique</f>
        <v>0.96</v>
      </c>
      <c r="I179" s="4">
        <f>(Tableau2[[#This Row],[Nombre total d''unités produites]]-Tableau2[[#This Row],[Nombre d''unités défectueuses]])/Tableau2[[#This Row],[Nombre total d''unités produites]]</f>
        <v>0.97876447876447881</v>
      </c>
      <c r="J179" s="4">
        <f>Tableau2[[#This Row],[Disponibilité]]*Tableau2[[#This Row],[Performance]]*Tableau2[[#This Row],[Qualité]]</f>
        <v>0.85419445419445417</v>
      </c>
    </row>
    <row r="180" spans="1:10" x14ac:dyDescent="0.3">
      <c r="A180" s="2">
        <v>45464</v>
      </c>
      <c r="B180" s="3">
        <v>3</v>
      </c>
      <c r="C180" s="3">
        <v>1</v>
      </c>
      <c r="D180">
        <v>99</v>
      </c>
      <c r="E180">
        <v>2070</v>
      </c>
      <c r="F180">
        <v>53</v>
      </c>
      <c r="G180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180" s="3">
        <f>Tableau2[[#This Row],[Vitesse de production réelle (unités/heure)]]/vitesseTheorique</f>
        <v>0.99</v>
      </c>
      <c r="I180" s="4">
        <f>(Tableau2[[#This Row],[Nombre total d''unités produites]]-Tableau2[[#This Row],[Nombre d''unités défectueuses]])/Tableau2[[#This Row],[Nombre total d''unités produites]]</f>
        <v>0.97439613526570046</v>
      </c>
      <c r="J180" s="4">
        <f>Tableau2[[#This Row],[Disponibilité]]*Tableau2[[#This Row],[Performance]]*Tableau2[[#This Row],[Qualité]]</f>
        <v>0.91871635610766045</v>
      </c>
    </row>
    <row r="181" spans="1:10" x14ac:dyDescent="0.3">
      <c r="A181" s="2">
        <v>45465</v>
      </c>
      <c r="B181" s="3">
        <v>3</v>
      </c>
      <c r="C181" s="3">
        <v>1</v>
      </c>
      <c r="D181">
        <v>99</v>
      </c>
      <c r="E181">
        <v>1762</v>
      </c>
      <c r="F181">
        <v>39</v>
      </c>
      <c r="G181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181" s="3">
        <f>Tableau2[[#This Row],[Vitesse de production réelle (unités/heure)]]/vitesseTheorique</f>
        <v>0.99</v>
      </c>
      <c r="I181" s="4">
        <f>(Tableau2[[#This Row],[Nombre total d''unités produites]]-Tableau2[[#This Row],[Nombre d''unités défectueuses]])/Tableau2[[#This Row],[Nombre total d''unités produites]]</f>
        <v>0.97786606129398412</v>
      </c>
      <c r="J181" s="4">
        <f>Tableau2[[#This Row],[Disponibilité]]*Tableau2[[#This Row],[Performance]]*Tableau2[[#This Row],[Qualité]]</f>
        <v>0.92198800064861364</v>
      </c>
    </row>
    <row r="182" spans="1:10" x14ac:dyDescent="0.3">
      <c r="A182" s="2">
        <v>45466</v>
      </c>
      <c r="B182" s="3">
        <v>1</v>
      </c>
      <c r="C182" s="3">
        <v>2</v>
      </c>
      <c r="D182">
        <v>100</v>
      </c>
      <c r="E182">
        <v>2112</v>
      </c>
      <c r="F182">
        <v>25</v>
      </c>
      <c r="G182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182" s="3">
        <f>Tableau2[[#This Row],[Vitesse de production réelle (unités/heure)]]/vitesseTheorique</f>
        <v>1</v>
      </c>
      <c r="I182" s="4">
        <f>(Tableau2[[#This Row],[Nombre total d''unités produites]]-Tableau2[[#This Row],[Nombre d''unités défectueuses]])/Tableau2[[#This Row],[Nombre total d''unités produites]]</f>
        <v>0.98816287878787878</v>
      </c>
      <c r="J182" s="4">
        <f>Tableau2[[#This Row],[Disponibilité]]*Tableau2[[#This Row],[Performance]]*Tableau2[[#This Row],[Qualité]]</f>
        <v>0.9022356719367588</v>
      </c>
    </row>
    <row r="183" spans="1:10" x14ac:dyDescent="0.3">
      <c r="A183" s="2">
        <v>45467</v>
      </c>
      <c r="B183" s="3">
        <v>3</v>
      </c>
      <c r="C183" s="3">
        <v>2</v>
      </c>
      <c r="D183">
        <v>93</v>
      </c>
      <c r="E183">
        <v>2060</v>
      </c>
      <c r="F183">
        <v>51</v>
      </c>
      <c r="G183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183" s="3">
        <f>Tableau2[[#This Row],[Vitesse de production réelle (unités/heure)]]/vitesseTheorique</f>
        <v>0.93</v>
      </c>
      <c r="I183" s="4">
        <f>(Tableau2[[#This Row],[Nombre total d''unités produites]]-Tableau2[[#This Row],[Nombre d''unités défectueuses]])/Tableau2[[#This Row],[Nombre total d''unités produites]]</f>
        <v>0.97524271844660193</v>
      </c>
      <c r="J183" s="4">
        <f>Tableau2[[#This Row],[Disponibilité]]*Tableau2[[#This Row],[Performance]]*Tableau2[[#This Row],[Qualité]]</f>
        <v>0.8205970873786409</v>
      </c>
    </row>
    <row r="184" spans="1:10" x14ac:dyDescent="0.3">
      <c r="A184" s="2">
        <v>45468</v>
      </c>
      <c r="B184" s="3">
        <v>1</v>
      </c>
      <c r="C184" s="3">
        <v>3</v>
      </c>
      <c r="D184">
        <v>94</v>
      </c>
      <c r="E184">
        <v>2045</v>
      </c>
      <c r="F184">
        <v>45</v>
      </c>
      <c r="G184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184" s="3">
        <f>Tableau2[[#This Row],[Vitesse de production réelle (unités/heure)]]/vitesseTheorique</f>
        <v>0.94</v>
      </c>
      <c r="I184" s="4">
        <f>(Tableau2[[#This Row],[Nombre total d''unités produites]]-Tableau2[[#This Row],[Nombre d''unités défectueuses]])/Tableau2[[#This Row],[Nombre total d''unités produites]]</f>
        <v>0.97799511002444983</v>
      </c>
      <c r="J184" s="4">
        <f>Tableau2[[#This Row],[Disponibilité]]*Tableau2[[#This Row],[Performance]]*Tableau2[[#This Row],[Qualité]]</f>
        <v>0.79940469862868069</v>
      </c>
    </row>
    <row r="185" spans="1:10" x14ac:dyDescent="0.3">
      <c r="A185" s="2">
        <v>45469</v>
      </c>
      <c r="B185" s="3">
        <v>1</v>
      </c>
      <c r="C185" s="3">
        <v>3</v>
      </c>
      <c r="D185">
        <v>90</v>
      </c>
      <c r="E185">
        <v>1978</v>
      </c>
      <c r="F185">
        <v>38</v>
      </c>
      <c r="G185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185" s="3">
        <f>Tableau2[[#This Row],[Vitesse de production réelle (unités/heure)]]/vitesseTheorique</f>
        <v>0.9</v>
      </c>
      <c r="I185" s="4">
        <f>(Tableau2[[#This Row],[Nombre total d''unités produites]]-Tableau2[[#This Row],[Nombre d''unités défectueuses]])/Tableau2[[#This Row],[Nombre total d''unités produites]]</f>
        <v>0.98078867542972703</v>
      </c>
      <c r="J185" s="4">
        <f>Tableau2[[#This Row],[Disponibilité]]*Tableau2[[#This Row],[Performance]]*Tableau2[[#This Row],[Qualité]]</f>
        <v>0.76757374598848205</v>
      </c>
    </row>
    <row r="186" spans="1:10" x14ac:dyDescent="0.3">
      <c r="A186" s="2">
        <v>45470</v>
      </c>
      <c r="B186" s="3">
        <v>3</v>
      </c>
      <c r="C186" s="3">
        <v>3</v>
      </c>
      <c r="D186">
        <v>89</v>
      </c>
      <c r="E186">
        <v>2278</v>
      </c>
      <c r="F186">
        <v>47</v>
      </c>
      <c r="G186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186" s="3">
        <f>Tableau2[[#This Row],[Vitesse de production réelle (unités/heure)]]/vitesseTheorique</f>
        <v>0.89</v>
      </c>
      <c r="I186" s="4">
        <f>(Tableau2[[#This Row],[Nombre total d''unités produites]]-Tableau2[[#This Row],[Nombre d''unités défectueuses]])/Tableau2[[#This Row],[Nombre total d''unités produites]]</f>
        <v>0.97936786654960495</v>
      </c>
      <c r="J186" s="4">
        <f>Tableau2[[#This Row],[Disponibilité]]*Tableau2[[#This Row],[Performance]]*Tableau2[[#This Row],[Qualité]]</f>
        <v>0.74711777248212718</v>
      </c>
    </row>
    <row r="187" spans="1:10" x14ac:dyDescent="0.3">
      <c r="A187" s="2">
        <v>45471</v>
      </c>
      <c r="B187" s="3">
        <v>3</v>
      </c>
      <c r="C187" s="3">
        <v>2</v>
      </c>
      <c r="D187">
        <v>89</v>
      </c>
      <c r="E187">
        <v>2159</v>
      </c>
      <c r="F187">
        <v>35</v>
      </c>
      <c r="G187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187" s="3">
        <f>Tableau2[[#This Row],[Vitesse de production réelle (unités/heure)]]/vitesseTheorique</f>
        <v>0.89</v>
      </c>
      <c r="I187" s="4">
        <f>(Tableau2[[#This Row],[Nombre total d''unités produites]]-Tableau2[[#This Row],[Nombre d''unités défectueuses]])/Tableau2[[#This Row],[Nombre total d''unités produites]]</f>
        <v>0.98378879110699402</v>
      </c>
      <c r="J187" s="4">
        <f>Tableau2[[#This Row],[Disponibilité]]*Tableau2[[#This Row],[Performance]]*Tableau2[[#This Row],[Qualité]]</f>
        <v>0.79218421226758429</v>
      </c>
    </row>
    <row r="188" spans="1:10" x14ac:dyDescent="0.3">
      <c r="A188" s="2">
        <v>45472</v>
      </c>
      <c r="B188" s="3">
        <v>3</v>
      </c>
      <c r="C188" s="3">
        <v>3</v>
      </c>
      <c r="D188">
        <v>92</v>
      </c>
      <c r="E188">
        <v>2246</v>
      </c>
      <c r="F188">
        <v>20</v>
      </c>
      <c r="G188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188" s="3">
        <f>Tableau2[[#This Row],[Vitesse de production réelle (unités/heure)]]/vitesseTheorique</f>
        <v>0.92</v>
      </c>
      <c r="I188" s="4">
        <f>(Tableau2[[#This Row],[Nombre total d''unités produites]]-Tableau2[[#This Row],[Nombre d''unités défectueuses]])/Tableau2[[#This Row],[Nombre total d''unités produites]]</f>
        <v>0.99109528049866424</v>
      </c>
      <c r="J188" s="4">
        <f>Tableau2[[#This Row],[Disponibilité]]*Tableau2[[#This Row],[Performance]]*Tableau2[[#This Row],[Qualité]]</f>
        <v>0.78154942119323234</v>
      </c>
    </row>
    <row r="189" spans="1:10" x14ac:dyDescent="0.3">
      <c r="A189" s="2">
        <v>45473</v>
      </c>
      <c r="B189" s="3">
        <v>3</v>
      </c>
      <c r="C189" s="3">
        <v>1</v>
      </c>
      <c r="D189">
        <v>82</v>
      </c>
      <c r="E189">
        <v>1712</v>
      </c>
      <c r="F189">
        <v>60</v>
      </c>
      <c r="G189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189" s="3">
        <f>Tableau2[[#This Row],[Vitesse de production réelle (unités/heure)]]/vitesseTheorique</f>
        <v>0.82</v>
      </c>
      <c r="I189" s="4">
        <f>(Tableau2[[#This Row],[Nombre total d''unités produites]]-Tableau2[[#This Row],[Nombre d''unités défectueuses]])/Tableau2[[#This Row],[Nombre total d''unités produites]]</f>
        <v>0.96495327102803741</v>
      </c>
      <c r="J189" s="4">
        <f>Tableau2[[#This Row],[Disponibilité]]*Tableau2[[#This Row],[Performance]]*Tableau2[[#This Row],[Qualité]]</f>
        <v>0.75358255451713385</v>
      </c>
    </row>
    <row r="190" spans="1:10" x14ac:dyDescent="0.3">
      <c r="A190" s="2">
        <v>45474</v>
      </c>
      <c r="B190" s="3">
        <v>2</v>
      </c>
      <c r="C190" s="3">
        <v>2</v>
      </c>
      <c r="D190">
        <v>87</v>
      </c>
      <c r="E190">
        <v>1931</v>
      </c>
      <c r="F190">
        <v>36</v>
      </c>
      <c r="G190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190" s="3">
        <f>Tableau2[[#This Row],[Vitesse de production réelle (unités/heure)]]/vitesseTheorique</f>
        <v>0.87</v>
      </c>
      <c r="I190" s="4">
        <f>(Tableau2[[#This Row],[Nombre total d''unités produites]]-Tableau2[[#This Row],[Nombre d''unités défectueuses]])/Tableau2[[#This Row],[Nombre total d''unités produites]]</f>
        <v>0.98135680994303465</v>
      </c>
      <c r="J190" s="4">
        <f>Tableau2[[#This Row],[Disponibilité]]*Tableau2[[#This Row],[Performance]]*Tableau2[[#This Row],[Qualité]]</f>
        <v>0.77616402240949101</v>
      </c>
    </row>
    <row r="191" spans="1:10" x14ac:dyDescent="0.3">
      <c r="A191" s="2">
        <v>45475</v>
      </c>
      <c r="B191" s="3">
        <v>3</v>
      </c>
      <c r="C191" s="3">
        <v>2</v>
      </c>
      <c r="D191">
        <v>81</v>
      </c>
      <c r="E191">
        <v>2271</v>
      </c>
      <c r="F191">
        <v>55</v>
      </c>
      <c r="G191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191" s="3">
        <f>Tableau2[[#This Row],[Vitesse de production réelle (unités/heure)]]/vitesseTheorique</f>
        <v>0.81</v>
      </c>
      <c r="I191" s="4">
        <f>(Tableau2[[#This Row],[Nombre total d''unités produites]]-Tableau2[[#This Row],[Nombre d''unités défectueuses]])/Tableau2[[#This Row],[Nombre total d''unités produites]]</f>
        <v>0.97578159401144871</v>
      </c>
      <c r="J191" s="4">
        <f>Tableau2[[#This Row],[Disponibilité]]*Tableau2[[#This Row],[Performance]]*Tableau2[[#This Row],[Qualité]]</f>
        <v>0.71510851103981887</v>
      </c>
    </row>
    <row r="192" spans="1:10" x14ac:dyDescent="0.3">
      <c r="A192" s="2">
        <v>45476</v>
      </c>
      <c r="B192" s="3">
        <v>3</v>
      </c>
      <c r="C192" s="3">
        <v>1</v>
      </c>
      <c r="D192">
        <v>92</v>
      </c>
      <c r="E192">
        <v>2065</v>
      </c>
      <c r="F192">
        <v>42</v>
      </c>
      <c r="G192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192" s="3">
        <f>Tableau2[[#This Row],[Vitesse de production réelle (unités/heure)]]/vitesseTheorique</f>
        <v>0.92</v>
      </c>
      <c r="I192" s="4">
        <f>(Tableau2[[#This Row],[Nombre total d''unités produites]]-Tableau2[[#This Row],[Nombre d''unités défectueuses]])/Tableau2[[#This Row],[Nombre total d''unités produites]]</f>
        <v>0.97966101694915253</v>
      </c>
      <c r="J192" s="4">
        <f>Tableau2[[#This Row],[Disponibilité]]*Tableau2[[#This Row],[Performance]]*Tableau2[[#This Row],[Qualité]]</f>
        <v>0.85836965294592416</v>
      </c>
    </row>
    <row r="193" spans="1:10" x14ac:dyDescent="0.3">
      <c r="A193" s="2">
        <v>45477</v>
      </c>
      <c r="B193" s="3">
        <v>3</v>
      </c>
      <c r="C193" s="3">
        <v>2</v>
      </c>
      <c r="D193">
        <v>84</v>
      </c>
      <c r="E193">
        <v>2019</v>
      </c>
      <c r="F193">
        <v>35</v>
      </c>
      <c r="G193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193" s="3">
        <f>Tableau2[[#This Row],[Vitesse de production réelle (unités/heure)]]/vitesseTheorique</f>
        <v>0.84</v>
      </c>
      <c r="I193" s="4">
        <f>(Tableau2[[#This Row],[Nombre total d''unités produites]]-Tableau2[[#This Row],[Nombre d''unités défectueuses]])/Tableau2[[#This Row],[Nombre total d''unités produites]]</f>
        <v>0.98266468548786523</v>
      </c>
      <c r="J193" s="4">
        <f>Tableau2[[#This Row],[Disponibilité]]*Tableau2[[#This Row],[Performance]]*Tableau2[[#This Row],[Qualité]]</f>
        <v>0.74682516097077756</v>
      </c>
    </row>
    <row r="194" spans="1:10" x14ac:dyDescent="0.3">
      <c r="A194" s="2">
        <v>45478</v>
      </c>
      <c r="B194" s="3">
        <v>1</v>
      </c>
      <c r="C194" s="3">
        <v>2</v>
      </c>
      <c r="D194">
        <v>97</v>
      </c>
      <c r="E194">
        <v>1706</v>
      </c>
      <c r="F194">
        <v>29</v>
      </c>
      <c r="G194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194" s="3">
        <f>Tableau2[[#This Row],[Vitesse de production réelle (unités/heure)]]/vitesseTheorique</f>
        <v>0.97</v>
      </c>
      <c r="I194" s="4">
        <f>(Tableau2[[#This Row],[Nombre total d''unités produites]]-Tableau2[[#This Row],[Nombre d''unités défectueuses]])/Tableau2[[#This Row],[Nombre total d''unités produites]]</f>
        <v>0.9830011723329426</v>
      </c>
      <c r="J194" s="4">
        <f>Tableau2[[#This Row],[Disponibilité]]*Tableau2[[#This Row],[Performance]]*Tableau2[[#This Row],[Qualité]]</f>
        <v>0.87059712523574084</v>
      </c>
    </row>
    <row r="195" spans="1:10" x14ac:dyDescent="0.3">
      <c r="A195" s="2">
        <v>45479</v>
      </c>
      <c r="B195" s="3">
        <v>1</v>
      </c>
      <c r="C195" s="3">
        <v>2</v>
      </c>
      <c r="D195">
        <v>87</v>
      </c>
      <c r="E195">
        <v>2200</v>
      </c>
      <c r="F195">
        <v>37</v>
      </c>
      <c r="G195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195" s="3">
        <f>Tableau2[[#This Row],[Vitesse de production réelle (unités/heure)]]/vitesseTheorique</f>
        <v>0.87</v>
      </c>
      <c r="I195" s="4">
        <f>(Tableau2[[#This Row],[Nombre total d''unités produites]]-Tableau2[[#This Row],[Nombre d''unités défectueuses]])/Tableau2[[#This Row],[Nombre total d''unités produites]]</f>
        <v>0.98318181818181816</v>
      </c>
      <c r="J195" s="4">
        <f>Tableau2[[#This Row],[Disponibilité]]*Tableau2[[#This Row],[Performance]]*Tableau2[[#This Row],[Qualité]]</f>
        <v>0.78098833992094852</v>
      </c>
    </row>
    <row r="196" spans="1:10" x14ac:dyDescent="0.3">
      <c r="A196" s="2">
        <v>45480</v>
      </c>
      <c r="B196" s="3">
        <v>2</v>
      </c>
      <c r="C196" s="3">
        <v>3</v>
      </c>
      <c r="D196">
        <v>88</v>
      </c>
      <c r="E196">
        <v>1792</v>
      </c>
      <c r="F196">
        <v>40</v>
      </c>
      <c r="G196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196" s="3">
        <f>Tableau2[[#This Row],[Vitesse de production réelle (unités/heure)]]/vitesseTheorique</f>
        <v>0.88</v>
      </c>
      <c r="I196" s="4">
        <f>(Tableau2[[#This Row],[Nombre total d''unités produites]]-Tableau2[[#This Row],[Nombre d''unités défectueuses]])/Tableau2[[#This Row],[Nombre total d''unités produites]]</f>
        <v>0.9776785714285714</v>
      </c>
      <c r="J196" s="4">
        <f>Tableau2[[#This Row],[Disponibilité]]*Tableau2[[#This Row],[Performance]]*Tableau2[[#This Row],[Qualité]]</f>
        <v>0.74303571428571424</v>
      </c>
    </row>
    <row r="197" spans="1:10" x14ac:dyDescent="0.3">
      <c r="A197" s="2">
        <v>45481</v>
      </c>
      <c r="B197" s="3">
        <v>2</v>
      </c>
      <c r="C197" s="3">
        <v>1</v>
      </c>
      <c r="D197">
        <v>90</v>
      </c>
      <c r="E197">
        <v>2127</v>
      </c>
      <c r="F197">
        <v>56</v>
      </c>
      <c r="G197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197" s="3">
        <f>Tableau2[[#This Row],[Vitesse de production réelle (unités/heure)]]/vitesseTheorique</f>
        <v>0.9</v>
      </c>
      <c r="I197" s="4">
        <f>(Tableau2[[#This Row],[Nombre total d''unités produites]]-Tableau2[[#This Row],[Nombre d''unités défectueuses]])/Tableau2[[#This Row],[Nombre total d''unités produites]]</f>
        <v>0.9736718382698637</v>
      </c>
      <c r="J197" s="4">
        <f>Tableau2[[#This Row],[Disponibilité]]*Tableau2[[#This Row],[Performance]]*Tableau2[[#This Row],[Qualité]]</f>
        <v>0.8364726246954739</v>
      </c>
    </row>
    <row r="198" spans="1:10" x14ac:dyDescent="0.3">
      <c r="A198" s="2">
        <v>45482</v>
      </c>
      <c r="B198" s="3">
        <v>3</v>
      </c>
      <c r="C198" s="3">
        <v>2</v>
      </c>
      <c r="D198">
        <v>85</v>
      </c>
      <c r="E198">
        <v>2174</v>
      </c>
      <c r="F198">
        <v>45</v>
      </c>
      <c r="G198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198" s="3">
        <f>Tableau2[[#This Row],[Vitesse de production réelle (unités/heure)]]/vitesseTheorique</f>
        <v>0.85</v>
      </c>
      <c r="I198" s="4">
        <f>(Tableau2[[#This Row],[Nombre total d''unités produites]]-Tableau2[[#This Row],[Nombre d''unités défectueuses]])/Tableau2[[#This Row],[Nombre total d''unités produites]]</f>
        <v>0.97930082796688134</v>
      </c>
      <c r="J198" s="4">
        <f>Tableau2[[#This Row],[Disponibilité]]*Tableau2[[#This Row],[Performance]]*Tableau2[[#This Row],[Qualité]]</f>
        <v>0.75312897007929203</v>
      </c>
    </row>
    <row r="199" spans="1:10" x14ac:dyDescent="0.3">
      <c r="A199" s="2">
        <v>45483</v>
      </c>
      <c r="B199" s="3">
        <v>3</v>
      </c>
      <c r="C199" s="3">
        <v>2</v>
      </c>
      <c r="D199">
        <v>97</v>
      </c>
      <c r="E199">
        <v>2053</v>
      </c>
      <c r="F199">
        <v>44</v>
      </c>
      <c r="G199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199" s="3">
        <f>Tableau2[[#This Row],[Vitesse de production réelle (unités/heure)]]/vitesseTheorique</f>
        <v>0.97</v>
      </c>
      <c r="I199" s="4">
        <f>(Tableau2[[#This Row],[Nombre total d''unités produites]]-Tableau2[[#This Row],[Nombre d''unités défectueuses]])/Tableau2[[#This Row],[Nombre total d''unités produites]]</f>
        <v>0.97856794934242575</v>
      </c>
      <c r="J199" s="4">
        <f>Tableau2[[#This Row],[Disponibilité]]*Tableau2[[#This Row],[Performance]]*Tableau2[[#This Row],[Qualité]]</f>
        <v>0.85880987173242418</v>
      </c>
    </row>
    <row r="200" spans="1:10" x14ac:dyDescent="0.3">
      <c r="A200" s="2">
        <v>45484</v>
      </c>
      <c r="B200" s="3">
        <v>2</v>
      </c>
      <c r="C200" s="3">
        <v>3</v>
      </c>
      <c r="D200">
        <v>95</v>
      </c>
      <c r="E200">
        <v>1822</v>
      </c>
      <c r="F200">
        <v>58</v>
      </c>
      <c r="G200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00" s="3">
        <f>Tableau2[[#This Row],[Vitesse de production réelle (unités/heure)]]/vitesseTheorique</f>
        <v>0.95</v>
      </c>
      <c r="I200" s="4">
        <f>(Tableau2[[#This Row],[Nombre total d''unités produites]]-Tableau2[[#This Row],[Nombre d''unités défectueuses]])/Tableau2[[#This Row],[Nombre total d''unités produites]]</f>
        <v>0.96816684961580679</v>
      </c>
      <c r="J200" s="4">
        <f>Tableau2[[#This Row],[Disponibilité]]*Tableau2[[#This Row],[Performance]]*Tableau2[[#This Row],[Qualité]]</f>
        <v>0.79433689252569606</v>
      </c>
    </row>
    <row r="201" spans="1:10" x14ac:dyDescent="0.3">
      <c r="A201" s="2">
        <v>45485</v>
      </c>
      <c r="B201" s="3">
        <v>2</v>
      </c>
      <c r="C201" s="3">
        <v>3</v>
      </c>
      <c r="D201">
        <v>91</v>
      </c>
      <c r="E201">
        <v>2153</v>
      </c>
      <c r="F201">
        <v>21</v>
      </c>
      <c r="G201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01" s="3">
        <f>Tableau2[[#This Row],[Vitesse de production réelle (unités/heure)]]/vitesseTheorique</f>
        <v>0.91</v>
      </c>
      <c r="I201" s="4">
        <f>(Tableau2[[#This Row],[Nombre total d''unités produites]]-Tableau2[[#This Row],[Nombre d''unités défectueuses]])/Tableau2[[#This Row],[Nombre total d''unités produites]]</f>
        <v>0.99024616813748256</v>
      </c>
      <c r="J201" s="4">
        <f>Tableau2[[#This Row],[Disponibilité]]*Tableau2[[#This Row],[Performance]]*Tableau2[[#This Row],[Qualité]]</f>
        <v>0.77824346577713965</v>
      </c>
    </row>
    <row r="202" spans="1:10" x14ac:dyDescent="0.3">
      <c r="A202" s="2">
        <v>45486</v>
      </c>
      <c r="B202" s="3">
        <v>3</v>
      </c>
      <c r="C202" s="3">
        <v>1</v>
      </c>
      <c r="D202">
        <v>80</v>
      </c>
      <c r="E202">
        <v>2094</v>
      </c>
      <c r="F202">
        <v>25</v>
      </c>
      <c r="G202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202" s="3">
        <f>Tableau2[[#This Row],[Vitesse de production réelle (unités/heure)]]/vitesseTheorique</f>
        <v>0.8</v>
      </c>
      <c r="I202" s="4">
        <f>(Tableau2[[#This Row],[Nombre total d''unités produites]]-Tableau2[[#This Row],[Nombre d''unités défectueuses]])/Tableau2[[#This Row],[Nombre total d''unités produites]]</f>
        <v>0.98806112702960835</v>
      </c>
      <c r="J202" s="4">
        <f>Tableau2[[#This Row],[Disponibilité]]*Tableau2[[#This Row],[Performance]]*Tableau2[[#This Row],[Qualité]]</f>
        <v>0.75280847773684445</v>
      </c>
    </row>
    <row r="203" spans="1:10" x14ac:dyDescent="0.3">
      <c r="A203" s="2">
        <v>45487</v>
      </c>
      <c r="B203" s="3">
        <v>1</v>
      </c>
      <c r="C203" s="3">
        <v>3</v>
      </c>
      <c r="D203">
        <v>91</v>
      </c>
      <c r="E203">
        <v>2177</v>
      </c>
      <c r="F203">
        <v>34</v>
      </c>
      <c r="G203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203" s="3">
        <f>Tableau2[[#This Row],[Vitesse de production réelle (unités/heure)]]/vitesseTheorique</f>
        <v>0.91</v>
      </c>
      <c r="I203" s="4">
        <f>(Tableau2[[#This Row],[Nombre total d''unités produites]]-Tableau2[[#This Row],[Nombre d''unités défectueuses]])/Tableau2[[#This Row],[Nombre total d''unités produites]]</f>
        <v>0.98438217730822231</v>
      </c>
      <c r="J203" s="4">
        <f>Tableau2[[#This Row],[Disponibilité]]*Tableau2[[#This Row],[Performance]]*Tableau2[[#This Row],[Qualité]]</f>
        <v>0.77894589682650628</v>
      </c>
    </row>
    <row r="204" spans="1:10" x14ac:dyDescent="0.3">
      <c r="A204" s="2">
        <v>45488</v>
      </c>
      <c r="B204" s="3">
        <v>2</v>
      </c>
      <c r="C204" s="3">
        <v>1</v>
      </c>
      <c r="D204">
        <v>94</v>
      </c>
      <c r="E204">
        <v>1740</v>
      </c>
      <c r="F204">
        <v>50</v>
      </c>
      <c r="G204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204" s="3">
        <f>Tableau2[[#This Row],[Vitesse de production réelle (unités/heure)]]/vitesseTheorique</f>
        <v>0.94</v>
      </c>
      <c r="I204" s="4">
        <f>(Tableau2[[#This Row],[Nombre total d''unités produites]]-Tableau2[[#This Row],[Nombre d''unités défectueuses]])/Tableau2[[#This Row],[Nombre total d''unités produites]]</f>
        <v>0.97126436781609193</v>
      </c>
      <c r="J204" s="4">
        <f>Tableau2[[#This Row],[Disponibilité]]*Tableau2[[#This Row],[Performance]]*Tableau2[[#This Row],[Qualité]]</f>
        <v>0.87148902821316609</v>
      </c>
    </row>
    <row r="205" spans="1:10" x14ac:dyDescent="0.3">
      <c r="A205" s="2">
        <v>45489</v>
      </c>
      <c r="B205" s="3">
        <v>2</v>
      </c>
      <c r="C205" s="3">
        <v>2</v>
      </c>
      <c r="D205">
        <v>83</v>
      </c>
      <c r="E205">
        <v>1980</v>
      </c>
      <c r="F205">
        <v>21</v>
      </c>
      <c r="G205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205" s="3">
        <f>Tableau2[[#This Row],[Vitesse de production réelle (unités/heure)]]/vitesseTheorique</f>
        <v>0.83</v>
      </c>
      <c r="I205" s="4">
        <f>(Tableau2[[#This Row],[Nombre total d''unités produites]]-Tableau2[[#This Row],[Nombre d''unités défectueuses]])/Tableau2[[#This Row],[Nombre total d''unités produites]]</f>
        <v>0.98939393939393938</v>
      </c>
      <c r="J205" s="4">
        <f>Tableau2[[#This Row],[Disponibilité]]*Tableau2[[#This Row],[Performance]]*Tableau2[[#This Row],[Qualité]]</f>
        <v>0.74654269972451792</v>
      </c>
    </row>
    <row r="206" spans="1:10" x14ac:dyDescent="0.3">
      <c r="A206" s="2">
        <v>45490</v>
      </c>
      <c r="B206" s="3">
        <v>2</v>
      </c>
      <c r="C206" s="3">
        <v>1</v>
      </c>
      <c r="D206">
        <v>80</v>
      </c>
      <c r="E206">
        <v>1870</v>
      </c>
      <c r="F206">
        <v>56</v>
      </c>
      <c r="G206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206" s="3">
        <f>Tableau2[[#This Row],[Vitesse de production réelle (unités/heure)]]/vitesseTheorique</f>
        <v>0.8</v>
      </c>
      <c r="I206" s="4">
        <f>(Tableau2[[#This Row],[Nombre total d''unités produites]]-Tableau2[[#This Row],[Nombre d''unités défectueuses]])/Tableau2[[#This Row],[Nombre total d''unités produites]]</f>
        <v>0.97005347593582891</v>
      </c>
      <c r="J206" s="4">
        <f>Tableau2[[#This Row],[Disponibilité]]*Tableau2[[#This Row],[Performance]]*Tableau2[[#This Row],[Qualité]]</f>
        <v>0.74076810889645117</v>
      </c>
    </row>
    <row r="207" spans="1:10" x14ac:dyDescent="0.3">
      <c r="A207" s="2">
        <v>45491</v>
      </c>
      <c r="B207" s="3">
        <v>3</v>
      </c>
      <c r="C207" s="3">
        <v>3</v>
      </c>
      <c r="D207">
        <v>89</v>
      </c>
      <c r="E207">
        <v>1752</v>
      </c>
      <c r="F207">
        <v>56</v>
      </c>
      <c r="G207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207" s="3">
        <f>Tableau2[[#This Row],[Vitesse de production réelle (unités/heure)]]/vitesseTheorique</f>
        <v>0.89</v>
      </c>
      <c r="I207" s="4">
        <f>(Tableau2[[#This Row],[Nombre total d''unités produites]]-Tableau2[[#This Row],[Nombre d''unités défectueuses]])/Tableau2[[#This Row],[Nombre total d''unités produites]]</f>
        <v>0.96803652968036524</v>
      </c>
      <c r="J207" s="4">
        <f>Tableau2[[#This Row],[Disponibilité]]*Tableau2[[#This Row],[Performance]]*Tableau2[[#This Row],[Qualité]]</f>
        <v>0.73847358121330708</v>
      </c>
    </row>
    <row r="208" spans="1:10" x14ac:dyDescent="0.3">
      <c r="A208" s="2">
        <v>45492</v>
      </c>
      <c r="B208" s="3">
        <v>1</v>
      </c>
      <c r="C208" s="3">
        <v>3</v>
      </c>
      <c r="D208">
        <v>90</v>
      </c>
      <c r="E208">
        <v>2158</v>
      </c>
      <c r="F208">
        <v>51</v>
      </c>
      <c r="G208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208" s="3">
        <f>Tableau2[[#This Row],[Vitesse de production réelle (unités/heure)]]/vitesseTheorique</f>
        <v>0.9</v>
      </c>
      <c r="I208" s="4">
        <f>(Tableau2[[#This Row],[Nombre total d''unités produites]]-Tableau2[[#This Row],[Nombre d''unités défectueuses]])/Tableau2[[#This Row],[Nombre total d''unités produites]]</f>
        <v>0.97636700648748842</v>
      </c>
      <c r="J208" s="4">
        <f>Tableau2[[#This Row],[Disponibilité]]*Tableau2[[#This Row],[Performance]]*Tableau2[[#This Row],[Qualité]]</f>
        <v>0.76411330942499101</v>
      </c>
    </row>
    <row r="209" spans="1:10" x14ac:dyDescent="0.3">
      <c r="A209" s="2">
        <v>45493</v>
      </c>
      <c r="B209" s="3">
        <v>1</v>
      </c>
      <c r="C209" s="3">
        <v>2</v>
      </c>
      <c r="D209">
        <v>99</v>
      </c>
      <c r="E209">
        <v>2057</v>
      </c>
      <c r="F209">
        <v>38</v>
      </c>
      <c r="G209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209" s="3">
        <f>Tableau2[[#This Row],[Vitesse de production réelle (unités/heure)]]/vitesseTheorique</f>
        <v>0.99</v>
      </c>
      <c r="I209" s="4">
        <f>(Tableau2[[#This Row],[Nombre total d''unités produites]]-Tableau2[[#This Row],[Nombre d''unités défectueuses]])/Tableau2[[#This Row],[Nombre total d''unités produites]]</f>
        <v>0.98152649489547883</v>
      </c>
      <c r="J209" s="4">
        <f>Tableau2[[#This Row],[Disponibilité]]*Tableau2[[#This Row],[Performance]]*Tableau2[[#This Row],[Qualité]]</f>
        <v>0.88721460125552187</v>
      </c>
    </row>
    <row r="210" spans="1:10" x14ac:dyDescent="0.3">
      <c r="A210" s="2">
        <v>45494</v>
      </c>
      <c r="B210" s="3">
        <v>3</v>
      </c>
      <c r="C210" s="3">
        <v>1</v>
      </c>
      <c r="D210">
        <v>89</v>
      </c>
      <c r="E210">
        <v>2004</v>
      </c>
      <c r="F210">
        <v>56</v>
      </c>
      <c r="G210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210" s="3">
        <f>Tableau2[[#This Row],[Vitesse de production réelle (unités/heure)]]/vitesseTheorique</f>
        <v>0.89</v>
      </c>
      <c r="I210" s="4">
        <f>(Tableau2[[#This Row],[Nombre total d''unités produites]]-Tableau2[[#This Row],[Nombre d''unités défectueuses]])/Tableau2[[#This Row],[Nombre total d''unités produites]]</f>
        <v>0.97205588822355293</v>
      </c>
      <c r="J210" s="4">
        <f>Tableau2[[#This Row],[Disponibilité]]*Tableau2[[#This Row],[Performance]]*Tableau2[[#This Row],[Qualité]]</f>
        <v>0.82393308620853534</v>
      </c>
    </row>
    <row r="211" spans="1:10" x14ac:dyDescent="0.3">
      <c r="A211" s="2">
        <v>45495</v>
      </c>
      <c r="B211" s="3">
        <v>3</v>
      </c>
      <c r="C211" s="3">
        <v>1</v>
      </c>
      <c r="D211">
        <v>81</v>
      </c>
      <c r="E211">
        <v>2078</v>
      </c>
      <c r="F211">
        <v>29</v>
      </c>
      <c r="G211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211" s="3">
        <f>Tableau2[[#This Row],[Vitesse de production réelle (unités/heure)]]/vitesseTheorique</f>
        <v>0.81</v>
      </c>
      <c r="I211" s="4">
        <f>(Tableau2[[#This Row],[Nombre total d''unités produites]]-Tableau2[[#This Row],[Nombre d''unités défectueuses]])/Tableau2[[#This Row],[Nombre total d''unités produites]]</f>
        <v>0.98604427333974976</v>
      </c>
      <c r="J211" s="4">
        <f>Tableau2[[#This Row],[Disponibilité]]*Tableau2[[#This Row],[Performance]]*Tableau2[[#This Row],[Qualité]]</f>
        <v>0.76066272514780697</v>
      </c>
    </row>
    <row r="212" spans="1:10" x14ac:dyDescent="0.3">
      <c r="A212" s="2">
        <v>45496</v>
      </c>
      <c r="B212" s="3">
        <v>2</v>
      </c>
      <c r="C212" s="3">
        <v>2</v>
      </c>
      <c r="D212">
        <v>85</v>
      </c>
      <c r="E212">
        <v>1972</v>
      </c>
      <c r="F212">
        <v>20</v>
      </c>
      <c r="G212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212" s="3">
        <f>Tableau2[[#This Row],[Vitesse de production réelle (unités/heure)]]/vitesseTheorique</f>
        <v>0.85</v>
      </c>
      <c r="I212" s="4">
        <f>(Tableau2[[#This Row],[Nombre total d''unités produites]]-Tableau2[[#This Row],[Nombre d''unités défectueuses]])/Tableau2[[#This Row],[Nombre total d''unités produites]]</f>
        <v>0.98985801217038538</v>
      </c>
      <c r="J212" s="4">
        <f>Tableau2[[#This Row],[Disponibilité]]*Tableau2[[#This Row],[Performance]]*Tableau2[[#This Row],[Qualité]]</f>
        <v>0.76489028213166144</v>
      </c>
    </row>
    <row r="213" spans="1:10" x14ac:dyDescent="0.3">
      <c r="A213" s="2">
        <v>45497</v>
      </c>
      <c r="B213" s="3">
        <v>2</v>
      </c>
      <c r="C213" s="3">
        <v>3</v>
      </c>
      <c r="D213">
        <v>81</v>
      </c>
      <c r="E213">
        <v>2078</v>
      </c>
      <c r="F213">
        <v>25</v>
      </c>
      <c r="G213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13" s="3">
        <f>Tableau2[[#This Row],[Vitesse de production réelle (unités/heure)]]/vitesseTheorique</f>
        <v>0.81</v>
      </c>
      <c r="I213" s="4">
        <f>(Tableau2[[#This Row],[Nombre total d''unités produites]]-Tableau2[[#This Row],[Nombre d''unités défectueuses]])/Tableau2[[#This Row],[Nombre total d''unités produites]]</f>
        <v>0.98796920115495668</v>
      </c>
      <c r="J213" s="4">
        <f>Tableau2[[#This Row],[Disponibilité]]*Tableau2[[#This Row],[Performance]]*Tableau2[[#This Row],[Qualité]]</f>
        <v>0.69112936389885382</v>
      </c>
    </row>
    <row r="214" spans="1:10" x14ac:dyDescent="0.3">
      <c r="A214" s="2">
        <v>45498</v>
      </c>
      <c r="B214" s="3">
        <v>1</v>
      </c>
      <c r="C214" s="3">
        <v>1</v>
      </c>
      <c r="D214">
        <v>95</v>
      </c>
      <c r="E214">
        <v>1897</v>
      </c>
      <c r="F214">
        <v>34</v>
      </c>
      <c r="G214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214" s="3">
        <f>Tableau2[[#This Row],[Vitesse de production réelle (unités/heure)]]/vitesseTheorique</f>
        <v>0.95</v>
      </c>
      <c r="I214" s="4">
        <f>(Tableau2[[#This Row],[Nombre total d''unités produites]]-Tableau2[[#This Row],[Nombre d''unités défectueuses]])/Tableau2[[#This Row],[Nombre total d''unités produites]]</f>
        <v>0.9820769636267791</v>
      </c>
      <c r="J214" s="4">
        <f>Tableau2[[#This Row],[Disponibilité]]*Tableau2[[#This Row],[Performance]]*Tableau2[[#This Row],[Qualité]]</f>
        <v>0.8924090669478123</v>
      </c>
    </row>
    <row r="215" spans="1:10" x14ac:dyDescent="0.3">
      <c r="A215" s="2">
        <v>45499</v>
      </c>
      <c r="B215" s="3">
        <v>2</v>
      </c>
      <c r="C215" s="3">
        <v>3</v>
      </c>
      <c r="D215">
        <v>94</v>
      </c>
      <c r="E215">
        <v>2075</v>
      </c>
      <c r="F215">
        <v>29</v>
      </c>
      <c r="G215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15" s="3">
        <f>Tableau2[[#This Row],[Vitesse de production réelle (unités/heure)]]/vitesseTheorique</f>
        <v>0.94</v>
      </c>
      <c r="I215" s="4">
        <f>(Tableau2[[#This Row],[Nombre total d''unités produites]]-Tableau2[[#This Row],[Nombre d''unités défectueuses]])/Tableau2[[#This Row],[Nombre total d''unités produites]]</f>
        <v>0.98602409638554211</v>
      </c>
      <c r="J215" s="4">
        <f>Tableau2[[#This Row],[Disponibilité]]*Tableau2[[#This Row],[Performance]]*Tableau2[[#This Row],[Qualité]]</f>
        <v>0.80047228915662638</v>
      </c>
    </row>
    <row r="216" spans="1:10" x14ac:dyDescent="0.3">
      <c r="A216" s="2">
        <v>45500</v>
      </c>
      <c r="B216" s="3">
        <v>3</v>
      </c>
      <c r="C216" s="3">
        <v>1</v>
      </c>
      <c r="D216">
        <v>82</v>
      </c>
      <c r="E216">
        <v>2043</v>
      </c>
      <c r="F216">
        <v>55</v>
      </c>
      <c r="G216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216" s="3">
        <f>Tableau2[[#This Row],[Vitesse de production réelle (unités/heure)]]/vitesseTheorique</f>
        <v>0.82</v>
      </c>
      <c r="I216" s="4">
        <f>(Tableau2[[#This Row],[Nombre total d''unités produites]]-Tableau2[[#This Row],[Nombre d''unités défectueuses]])/Tableau2[[#This Row],[Nombre total d''unités produites]]</f>
        <v>0.9730788056779246</v>
      </c>
      <c r="J216" s="4">
        <f>Tableau2[[#This Row],[Disponibilité]]*Tableau2[[#This Row],[Performance]]*Tableau2[[#This Row],[Qualité]]</f>
        <v>0.75992821014847434</v>
      </c>
    </row>
    <row r="217" spans="1:10" x14ac:dyDescent="0.3">
      <c r="A217" s="2">
        <v>45501</v>
      </c>
      <c r="B217" s="3">
        <v>2</v>
      </c>
      <c r="C217" s="3">
        <v>3</v>
      </c>
      <c r="D217">
        <v>84</v>
      </c>
      <c r="E217">
        <v>2004</v>
      </c>
      <c r="F217">
        <v>60</v>
      </c>
      <c r="G217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17" s="3">
        <f>Tableau2[[#This Row],[Vitesse de production réelle (unités/heure)]]/vitesseTheorique</f>
        <v>0.84</v>
      </c>
      <c r="I217" s="4">
        <f>(Tableau2[[#This Row],[Nombre total d''unités produites]]-Tableau2[[#This Row],[Nombre d''unités défectueuses]])/Tableau2[[#This Row],[Nombre total d''unités produites]]</f>
        <v>0.97005988023952094</v>
      </c>
      <c r="J217" s="4">
        <f>Tableau2[[#This Row],[Disponibilité]]*Tableau2[[#This Row],[Performance]]*Tableau2[[#This Row],[Qualité]]</f>
        <v>0.70373434948285252</v>
      </c>
    </row>
    <row r="218" spans="1:10" x14ac:dyDescent="0.3">
      <c r="A218" s="2">
        <v>45502</v>
      </c>
      <c r="B218" s="3">
        <v>3</v>
      </c>
      <c r="C218" s="3">
        <v>2</v>
      </c>
      <c r="D218">
        <v>85</v>
      </c>
      <c r="E218">
        <v>1811</v>
      </c>
      <c r="F218">
        <v>42</v>
      </c>
      <c r="G218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218" s="3">
        <f>Tableau2[[#This Row],[Vitesse de production réelle (unités/heure)]]/vitesseTheorique</f>
        <v>0.85</v>
      </c>
      <c r="I218" s="4">
        <f>(Tableau2[[#This Row],[Nombre total d''unités produites]]-Tableau2[[#This Row],[Nombre d''unités défectueuses]])/Tableau2[[#This Row],[Nombre total d''unités produites]]</f>
        <v>0.9768083931529542</v>
      </c>
      <c r="J218" s="4">
        <f>Tableau2[[#This Row],[Disponibilité]]*Tableau2[[#This Row],[Performance]]*Tableau2[[#This Row],[Qualité]]</f>
        <v>0.75121216902000998</v>
      </c>
    </row>
    <row r="219" spans="1:10" x14ac:dyDescent="0.3">
      <c r="A219" s="2">
        <v>45503</v>
      </c>
      <c r="B219" s="3">
        <v>3</v>
      </c>
      <c r="C219" s="3">
        <v>3</v>
      </c>
      <c r="D219">
        <v>90</v>
      </c>
      <c r="E219">
        <v>1846</v>
      </c>
      <c r="F219">
        <v>38</v>
      </c>
      <c r="G219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219" s="3">
        <f>Tableau2[[#This Row],[Vitesse de production réelle (unités/heure)]]/vitesseTheorique</f>
        <v>0.9</v>
      </c>
      <c r="I219" s="4">
        <f>(Tableau2[[#This Row],[Nombre total d''unités produites]]-Tableau2[[#This Row],[Nombre d''unités défectueuses]])/Tableau2[[#This Row],[Nombre total d''unités produites]]</f>
        <v>0.97941495124593714</v>
      </c>
      <c r="J219" s="4">
        <f>Tableau2[[#This Row],[Disponibilité]]*Tableau2[[#This Row],[Performance]]*Tableau2[[#This Row],[Qualité]]</f>
        <v>0.75554867667543713</v>
      </c>
    </row>
    <row r="220" spans="1:10" x14ac:dyDescent="0.3">
      <c r="A220" s="2">
        <v>45504</v>
      </c>
      <c r="B220" s="3">
        <v>2</v>
      </c>
      <c r="C220" s="3">
        <v>3</v>
      </c>
      <c r="D220">
        <v>80</v>
      </c>
      <c r="E220">
        <v>2128</v>
      </c>
      <c r="F220">
        <v>20</v>
      </c>
      <c r="G220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20" s="3">
        <f>Tableau2[[#This Row],[Vitesse de production réelle (unités/heure)]]/vitesseTheorique</f>
        <v>0.8</v>
      </c>
      <c r="I220" s="4">
        <f>(Tableau2[[#This Row],[Nombre total d''unités produites]]-Tableau2[[#This Row],[Nombre d''unités défectueuses]])/Tableau2[[#This Row],[Nombre total d''unités produites]]</f>
        <v>0.99060150375939848</v>
      </c>
      <c r="J220" s="4">
        <f>Tableau2[[#This Row],[Disponibilité]]*Tableau2[[#This Row],[Performance]]*Tableau2[[#This Row],[Qualité]]</f>
        <v>0.68441558441558437</v>
      </c>
    </row>
    <row r="221" spans="1:10" x14ac:dyDescent="0.3">
      <c r="A221" s="2">
        <v>45505</v>
      </c>
      <c r="B221" s="3">
        <v>3</v>
      </c>
      <c r="C221" s="3">
        <v>1</v>
      </c>
      <c r="D221">
        <v>96</v>
      </c>
      <c r="E221">
        <v>1711</v>
      </c>
      <c r="F221">
        <v>60</v>
      </c>
      <c r="G221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221" s="3">
        <f>Tableau2[[#This Row],[Vitesse de production réelle (unités/heure)]]/vitesseTheorique</f>
        <v>0.96</v>
      </c>
      <c r="I221" s="4">
        <f>(Tableau2[[#This Row],[Nombre total d''unités produites]]-Tableau2[[#This Row],[Nombre d''unités défectueuses]])/Tableau2[[#This Row],[Nombre total d''unités produites]]</f>
        <v>0.96493278784336645</v>
      </c>
      <c r="J221" s="4">
        <f>Tableau2[[#This Row],[Disponibilité]]*Tableau2[[#This Row],[Performance]]*Tableau2[[#This Row],[Qualité]]</f>
        <v>0.88222426317107772</v>
      </c>
    </row>
    <row r="222" spans="1:10" x14ac:dyDescent="0.3">
      <c r="A222" s="2">
        <v>45506</v>
      </c>
      <c r="B222" s="3">
        <v>3</v>
      </c>
      <c r="C222" s="3">
        <v>2</v>
      </c>
      <c r="D222">
        <v>90</v>
      </c>
      <c r="E222">
        <v>1878</v>
      </c>
      <c r="F222">
        <v>56</v>
      </c>
      <c r="G222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222" s="3">
        <f>Tableau2[[#This Row],[Vitesse de production réelle (unités/heure)]]/vitesseTheorique</f>
        <v>0.9</v>
      </c>
      <c r="I222" s="4">
        <f>(Tableau2[[#This Row],[Nombre total d''unités produites]]-Tableau2[[#This Row],[Nombre d''unités défectueuses]])/Tableau2[[#This Row],[Nombre total d''unités produites]]</f>
        <v>0.9701810436634718</v>
      </c>
      <c r="J222" s="4">
        <f>Tableau2[[#This Row],[Disponibilité]]*Tableau2[[#This Row],[Performance]]*Tableau2[[#This Row],[Qualité]]</f>
        <v>0.79000456412596987</v>
      </c>
    </row>
    <row r="223" spans="1:10" x14ac:dyDescent="0.3">
      <c r="A223" s="2">
        <v>45507</v>
      </c>
      <c r="B223" s="3">
        <v>1</v>
      </c>
      <c r="C223" s="3">
        <v>1</v>
      </c>
      <c r="D223">
        <v>83</v>
      </c>
      <c r="E223">
        <v>1822</v>
      </c>
      <c r="F223">
        <v>32</v>
      </c>
      <c r="G223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223" s="3">
        <f>Tableau2[[#This Row],[Vitesse de production réelle (unités/heure)]]/vitesseTheorique</f>
        <v>0.83</v>
      </c>
      <c r="I223" s="4">
        <f>(Tableau2[[#This Row],[Nombre total d''unités produites]]-Tableau2[[#This Row],[Nombre d''unités défectueuses]])/Tableau2[[#This Row],[Nombre total d''unités produites]]</f>
        <v>0.98243688254665207</v>
      </c>
      <c r="J223" s="4">
        <f>Tableau2[[#This Row],[Disponibilité]]*Tableau2[[#This Row],[Performance]]*Tableau2[[#This Row],[Qualité]]</f>
        <v>0.77996945544790719</v>
      </c>
    </row>
    <row r="224" spans="1:10" x14ac:dyDescent="0.3">
      <c r="A224" s="2">
        <v>45508</v>
      </c>
      <c r="B224" s="3">
        <v>3</v>
      </c>
      <c r="C224" s="3">
        <v>2</v>
      </c>
      <c r="D224">
        <v>95</v>
      </c>
      <c r="E224">
        <v>1929</v>
      </c>
      <c r="F224">
        <v>34</v>
      </c>
      <c r="G224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224" s="3">
        <f>Tableau2[[#This Row],[Vitesse de production réelle (unités/heure)]]/vitesseTheorique</f>
        <v>0.95</v>
      </c>
      <c r="I224" s="4">
        <f>(Tableau2[[#This Row],[Nombre total d''unités produites]]-Tableau2[[#This Row],[Nombre d''unités défectueuses]])/Tableau2[[#This Row],[Nombre total d''unités produites]]</f>
        <v>0.98237428719543807</v>
      </c>
      <c r="J224" s="4">
        <f>Tableau2[[#This Row],[Disponibilité]]*Tableau2[[#This Row],[Performance]]*Tableau2[[#This Row],[Qualité]]</f>
        <v>0.84437408970845984</v>
      </c>
    </row>
    <row r="225" spans="1:10" x14ac:dyDescent="0.3">
      <c r="A225" s="2">
        <v>45509</v>
      </c>
      <c r="B225" s="3">
        <v>1</v>
      </c>
      <c r="C225" s="3">
        <v>2</v>
      </c>
      <c r="D225">
        <v>84</v>
      </c>
      <c r="E225">
        <v>2229</v>
      </c>
      <c r="F225">
        <v>20</v>
      </c>
      <c r="G225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225" s="3">
        <f>Tableau2[[#This Row],[Vitesse de production réelle (unités/heure)]]/vitesseTheorique</f>
        <v>0.84</v>
      </c>
      <c r="I225" s="4">
        <f>(Tableau2[[#This Row],[Nombre total d''unités produites]]-Tableau2[[#This Row],[Nombre d''unités défectueuses]])/Tableau2[[#This Row],[Nombre total d''unités produites]]</f>
        <v>0.99102736653207713</v>
      </c>
      <c r="J225" s="4">
        <f>Tableau2[[#This Row],[Disponibilité]]*Tableau2[[#This Row],[Performance]]*Tableau2[[#This Row],[Qualité]]</f>
        <v>0.76007490198373207</v>
      </c>
    </row>
    <row r="226" spans="1:10" x14ac:dyDescent="0.3">
      <c r="A226" s="2">
        <v>45510</v>
      </c>
      <c r="B226" s="3">
        <v>1</v>
      </c>
      <c r="C226" s="3">
        <v>2</v>
      </c>
      <c r="D226">
        <v>93</v>
      </c>
      <c r="E226">
        <v>2107</v>
      </c>
      <c r="F226">
        <v>26</v>
      </c>
      <c r="G226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226" s="3">
        <f>Tableau2[[#This Row],[Vitesse de production réelle (unités/heure)]]/vitesseTheorique</f>
        <v>0.93</v>
      </c>
      <c r="I226" s="4">
        <f>(Tableau2[[#This Row],[Nombre total d''unités produites]]-Tableau2[[#This Row],[Nombre d''unités défectueuses]])/Tableau2[[#This Row],[Nombre total d''unités produites]]</f>
        <v>0.98766018035121028</v>
      </c>
      <c r="J226" s="4">
        <f>Tableau2[[#This Row],[Disponibilité]]*Tableau2[[#This Row],[Performance]]*Tableau2[[#This Row],[Qualité]]</f>
        <v>0.83865231835909293</v>
      </c>
    </row>
    <row r="227" spans="1:10" x14ac:dyDescent="0.3">
      <c r="A227" s="2">
        <v>45511</v>
      </c>
      <c r="B227" s="3">
        <v>2</v>
      </c>
      <c r="C227" s="3">
        <v>3</v>
      </c>
      <c r="D227">
        <v>91</v>
      </c>
      <c r="E227">
        <v>2289</v>
      </c>
      <c r="F227">
        <v>54</v>
      </c>
      <c r="G227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27" s="3">
        <f>Tableau2[[#This Row],[Vitesse de production réelle (unités/heure)]]/vitesseTheorique</f>
        <v>0.91</v>
      </c>
      <c r="I227" s="4">
        <f>(Tableau2[[#This Row],[Nombre total d''unités produites]]-Tableau2[[#This Row],[Nombre d''unités défectueuses]])/Tableau2[[#This Row],[Nombre total d''unités produites]]</f>
        <v>0.97640891218872872</v>
      </c>
      <c r="J227" s="4">
        <f>Tableau2[[#This Row],[Disponibilité]]*Tableau2[[#This Row],[Performance]]*Tableau2[[#This Row],[Qualité]]</f>
        <v>0.76736864053377818</v>
      </c>
    </row>
    <row r="228" spans="1:10" x14ac:dyDescent="0.3">
      <c r="A228" s="2">
        <v>45512</v>
      </c>
      <c r="B228" s="3">
        <v>1</v>
      </c>
      <c r="C228" s="3">
        <v>3</v>
      </c>
      <c r="D228">
        <v>97</v>
      </c>
      <c r="E228">
        <v>1790</v>
      </c>
      <c r="F228">
        <v>36</v>
      </c>
      <c r="G228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228" s="3">
        <f>Tableau2[[#This Row],[Vitesse de production réelle (unités/heure)]]/vitesseTheorique</f>
        <v>0.97</v>
      </c>
      <c r="I228" s="4">
        <f>(Tableau2[[#This Row],[Nombre total d''unités produites]]-Tableau2[[#This Row],[Nombre d''unités défectueuses]])/Tableau2[[#This Row],[Nombre total d''unités produites]]</f>
        <v>0.9798882681564246</v>
      </c>
      <c r="J228" s="4">
        <f>Tableau2[[#This Row],[Disponibilité]]*Tableau2[[#This Row],[Performance]]*Tableau2[[#This Row],[Qualité]]</f>
        <v>0.82651445227107112</v>
      </c>
    </row>
    <row r="229" spans="1:10" x14ac:dyDescent="0.3">
      <c r="A229" s="2">
        <v>45513</v>
      </c>
      <c r="B229" s="3">
        <v>2</v>
      </c>
      <c r="C229" s="3">
        <v>2</v>
      </c>
      <c r="D229">
        <v>94</v>
      </c>
      <c r="E229">
        <v>1898</v>
      </c>
      <c r="F229">
        <v>40</v>
      </c>
      <c r="G229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229" s="3">
        <f>Tableau2[[#This Row],[Vitesse de production réelle (unités/heure)]]/vitesseTheorique</f>
        <v>0.94</v>
      </c>
      <c r="I229" s="4">
        <f>(Tableau2[[#This Row],[Nombre total d''unités produites]]-Tableau2[[#This Row],[Nombre d''unités défectueuses]])/Tableau2[[#This Row],[Nombre total d''unités produites]]</f>
        <v>0.97892518440463649</v>
      </c>
      <c r="J229" s="4">
        <f>Tableau2[[#This Row],[Disponibilité]]*Tableau2[[#This Row],[Performance]]*Tableau2[[#This Row],[Qualité]]</f>
        <v>0.83653606667305291</v>
      </c>
    </row>
    <row r="230" spans="1:10" x14ac:dyDescent="0.3">
      <c r="A230" s="2">
        <v>45514</v>
      </c>
      <c r="B230" s="3">
        <v>2</v>
      </c>
      <c r="C230" s="3">
        <v>1</v>
      </c>
      <c r="D230">
        <v>96</v>
      </c>
      <c r="E230">
        <v>1932</v>
      </c>
      <c r="F230">
        <v>26</v>
      </c>
      <c r="G230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230" s="3">
        <f>Tableau2[[#This Row],[Vitesse de production réelle (unités/heure)]]/vitesseTheorique</f>
        <v>0.96</v>
      </c>
      <c r="I230" s="4">
        <f>(Tableau2[[#This Row],[Nombre total d''unités produites]]-Tableau2[[#This Row],[Nombre d''unités défectueuses]])/Tableau2[[#This Row],[Nombre total d''unités produites]]</f>
        <v>0.98654244306418215</v>
      </c>
      <c r="J230" s="4">
        <f>Tableau2[[#This Row],[Disponibilité]]*Tableau2[[#This Row],[Performance]]*Tableau2[[#This Row],[Qualité]]</f>
        <v>0.90403162055335962</v>
      </c>
    </row>
    <row r="231" spans="1:10" x14ac:dyDescent="0.3">
      <c r="A231" s="2">
        <v>45515</v>
      </c>
      <c r="B231" s="3">
        <v>2</v>
      </c>
      <c r="C231" s="3">
        <v>1</v>
      </c>
      <c r="D231">
        <v>82</v>
      </c>
      <c r="E231">
        <v>1711</v>
      </c>
      <c r="F231">
        <v>40</v>
      </c>
      <c r="G231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231" s="3">
        <f>Tableau2[[#This Row],[Vitesse de production réelle (unités/heure)]]/vitesseTheorique</f>
        <v>0.82</v>
      </c>
      <c r="I231" s="4">
        <f>(Tableau2[[#This Row],[Nombre total d''unités produites]]-Tableau2[[#This Row],[Nombre d''unités défectueuses]])/Tableau2[[#This Row],[Nombre total d''unités produites]]</f>
        <v>0.97662185856224426</v>
      </c>
      <c r="J231" s="4">
        <f>Tableau2[[#This Row],[Disponibilité]]*Tableau2[[#This Row],[Performance]]*Tableau2[[#This Row],[Qualité]]</f>
        <v>0.76442856383826574</v>
      </c>
    </row>
    <row r="232" spans="1:10" x14ac:dyDescent="0.3">
      <c r="A232" s="2">
        <v>45516</v>
      </c>
      <c r="B232" s="3">
        <v>1</v>
      </c>
      <c r="C232" s="3">
        <v>1</v>
      </c>
      <c r="D232">
        <v>100</v>
      </c>
      <c r="E232">
        <v>1829</v>
      </c>
      <c r="F232">
        <v>24</v>
      </c>
      <c r="G232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232" s="3">
        <f>Tableau2[[#This Row],[Vitesse de production réelle (unités/heure)]]/vitesseTheorique</f>
        <v>1</v>
      </c>
      <c r="I232" s="4">
        <f>(Tableau2[[#This Row],[Nombre total d''unités produites]]-Tableau2[[#This Row],[Nombre d''unités défectueuses]])/Tableau2[[#This Row],[Nombre total d''unités produites]]</f>
        <v>0.98687807545106621</v>
      </c>
      <c r="J232" s="4">
        <f>Tableau2[[#This Row],[Disponibilité]]*Tableau2[[#This Row],[Performance]]*Tableau2[[#This Row],[Qualité]]</f>
        <v>0.94397033304015032</v>
      </c>
    </row>
    <row r="233" spans="1:10" x14ac:dyDescent="0.3">
      <c r="A233" s="2">
        <v>45517</v>
      </c>
      <c r="B233" s="3">
        <v>2</v>
      </c>
      <c r="C233" s="3">
        <v>2</v>
      </c>
      <c r="D233">
        <v>88</v>
      </c>
      <c r="E233">
        <v>2089</v>
      </c>
      <c r="F233">
        <v>35</v>
      </c>
      <c r="G233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233" s="3">
        <f>Tableau2[[#This Row],[Vitesse de production réelle (unités/heure)]]/vitesseTheorique</f>
        <v>0.88</v>
      </c>
      <c r="I233" s="4">
        <f>(Tableau2[[#This Row],[Nombre total d''unités produites]]-Tableau2[[#This Row],[Nombre d''unités défectueuses]])/Tableau2[[#This Row],[Nombre total d''unités produites]]</f>
        <v>0.98324557204404017</v>
      </c>
      <c r="J233" s="4">
        <f>Tableau2[[#This Row],[Disponibilité]]*Tableau2[[#This Row],[Performance]]*Tableau2[[#This Row],[Qualité]]</f>
        <v>0.78659645763523212</v>
      </c>
    </row>
    <row r="234" spans="1:10" x14ac:dyDescent="0.3">
      <c r="A234" s="2">
        <v>45518</v>
      </c>
      <c r="B234" s="3">
        <v>2</v>
      </c>
      <c r="C234" s="3">
        <v>1</v>
      </c>
      <c r="D234">
        <v>83</v>
      </c>
      <c r="E234">
        <v>2150</v>
      </c>
      <c r="F234">
        <v>52</v>
      </c>
      <c r="G234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234" s="3">
        <f>Tableau2[[#This Row],[Vitesse de production réelle (unités/heure)]]/vitesseTheorique</f>
        <v>0.83</v>
      </c>
      <c r="I234" s="4">
        <f>(Tableau2[[#This Row],[Nombre total d''unités produites]]-Tableau2[[#This Row],[Nombre d''unités défectueuses]])/Tableau2[[#This Row],[Nombre total d''unités produites]]</f>
        <v>0.97581395348837208</v>
      </c>
      <c r="J234" s="4">
        <f>Tableau2[[#This Row],[Disponibilité]]*Tableau2[[#This Row],[Performance]]*Tableau2[[#This Row],[Qualité]]</f>
        <v>0.7731107822410147</v>
      </c>
    </row>
    <row r="235" spans="1:10" x14ac:dyDescent="0.3">
      <c r="A235" s="2">
        <v>45519</v>
      </c>
      <c r="B235" s="3">
        <v>3</v>
      </c>
      <c r="C235" s="3">
        <v>2</v>
      </c>
      <c r="D235">
        <v>100</v>
      </c>
      <c r="E235">
        <v>2219</v>
      </c>
      <c r="F235">
        <v>20</v>
      </c>
      <c r="G235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235" s="3">
        <f>Tableau2[[#This Row],[Vitesse de production réelle (unités/heure)]]/vitesseTheorique</f>
        <v>1</v>
      </c>
      <c r="I235" s="4">
        <f>(Tableau2[[#This Row],[Nombre total d''unités produites]]-Tableau2[[#This Row],[Nombre d''unités défectueuses]])/Tableau2[[#This Row],[Nombre total d''unités produites]]</f>
        <v>0.99098693105002256</v>
      </c>
      <c r="J235" s="4">
        <f>Tableau2[[#This Row],[Disponibilité]]*Tableau2[[#This Row],[Performance]]*Tableau2[[#This Row],[Qualité]]</f>
        <v>0.89660722333097276</v>
      </c>
    </row>
    <row r="236" spans="1:10" x14ac:dyDescent="0.3">
      <c r="A236" s="2">
        <v>45520</v>
      </c>
      <c r="B236" s="3">
        <v>1</v>
      </c>
      <c r="C236" s="3">
        <v>1</v>
      </c>
      <c r="D236">
        <v>80</v>
      </c>
      <c r="E236">
        <v>2045</v>
      </c>
      <c r="F236">
        <v>23</v>
      </c>
      <c r="G236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236" s="3">
        <f>Tableau2[[#This Row],[Vitesse de production réelle (unités/heure)]]/vitesseTheorique</f>
        <v>0.8</v>
      </c>
      <c r="I236" s="4">
        <f>(Tableau2[[#This Row],[Nombre total d''unités produites]]-Tableau2[[#This Row],[Nombre d''unités défectueuses]])/Tableau2[[#This Row],[Nombre total d''unités produites]]</f>
        <v>0.98875305623471887</v>
      </c>
      <c r="J236" s="4">
        <f>Tableau2[[#This Row],[Disponibilité]]*Tableau2[[#This Row],[Performance]]*Tableau2[[#This Row],[Qualité]]</f>
        <v>0.75661103433613275</v>
      </c>
    </row>
    <row r="237" spans="1:10" x14ac:dyDescent="0.3">
      <c r="A237" s="2">
        <v>45521</v>
      </c>
      <c r="B237" s="3">
        <v>2</v>
      </c>
      <c r="C237" s="3">
        <v>1</v>
      </c>
      <c r="D237">
        <v>81</v>
      </c>
      <c r="E237">
        <v>2072</v>
      </c>
      <c r="F237">
        <v>42</v>
      </c>
      <c r="G237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237" s="3">
        <f>Tableau2[[#This Row],[Vitesse de production réelle (unités/heure)]]/vitesseTheorique</f>
        <v>0.81</v>
      </c>
      <c r="I237" s="4">
        <f>(Tableau2[[#This Row],[Nombre total d''unités produites]]-Tableau2[[#This Row],[Nombre d''unités défectueuses]])/Tableau2[[#This Row],[Nombre total d''unités produites]]</f>
        <v>0.97972972972972971</v>
      </c>
      <c r="J237" s="4">
        <f>Tableau2[[#This Row],[Disponibilité]]*Tableau2[[#This Row],[Performance]]*Tableau2[[#This Row],[Qualité]]</f>
        <v>0.75750921375921387</v>
      </c>
    </row>
    <row r="238" spans="1:10" x14ac:dyDescent="0.3">
      <c r="A238" s="2">
        <v>45522</v>
      </c>
      <c r="B238" s="3">
        <v>3</v>
      </c>
      <c r="C238" s="3">
        <v>1</v>
      </c>
      <c r="D238">
        <v>99</v>
      </c>
      <c r="E238">
        <v>1715</v>
      </c>
      <c r="F238">
        <v>55</v>
      </c>
      <c r="G238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238" s="3">
        <f>Tableau2[[#This Row],[Vitesse de production réelle (unités/heure)]]/vitesseTheorique</f>
        <v>0.99</v>
      </c>
      <c r="I238" s="4">
        <f>(Tableau2[[#This Row],[Nombre total d''unités produites]]-Tableau2[[#This Row],[Nombre d''unités défectueuses]])/Tableau2[[#This Row],[Nombre total d''unités produites]]</f>
        <v>0.96793002915451898</v>
      </c>
      <c r="J238" s="4">
        <f>Tableau2[[#This Row],[Disponibilité]]*Tableau2[[#This Row],[Performance]]*Tableau2[[#This Row],[Qualité]]</f>
        <v>0.91261974177426075</v>
      </c>
    </row>
    <row r="239" spans="1:10" x14ac:dyDescent="0.3">
      <c r="A239" s="2">
        <v>45523</v>
      </c>
      <c r="B239" s="3">
        <v>2</v>
      </c>
      <c r="C239" s="3">
        <v>1</v>
      </c>
      <c r="D239">
        <v>92</v>
      </c>
      <c r="E239">
        <v>2044</v>
      </c>
      <c r="F239">
        <v>22</v>
      </c>
      <c r="G239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239" s="3">
        <f>Tableau2[[#This Row],[Vitesse de production réelle (unités/heure)]]/vitesseTheorique</f>
        <v>0.92</v>
      </c>
      <c r="I239" s="4">
        <f>(Tableau2[[#This Row],[Nombre total d''unités produites]]-Tableau2[[#This Row],[Nombre d''unités défectueuses]])/Tableau2[[#This Row],[Nombre total d''unités produites]]</f>
        <v>0.98923679060665359</v>
      </c>
      <c r="J239" s="4">
        <f>Tableau2[[#This Row],[Disponibilité]]*Tableau2[[#This Row],[Performance]]*Tableau2[[#This Row],[Qualité]]</f>
        <v>0.86872976338729768</v>
      </c>
    </row>
    <row r="240" spans="1:10" x14ac:dyDescent="0.3">
      <c r="A240" s="2">
        <v>45524</v>
      </c>
      <c r="B240" s="3">
        <v>3</v>
      </c>
      <c r="C240" s="3">
        <v>3</v>
      </c>
      <c r="D240">
        <v>91</v>
      </c>
      <c r="E240">
        <v>1775</v>
      </c>
      <c r="F240">
        <v>54</v>
      </c>
      <c r="G240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240" s="3">
        <f>Tableau2[[#This Row],[Vitesse de production réelle (unités/heure)]]/vitesseTheorique</f>
        <v>0.91</v>
      </c>
      <c r="I240" s="4">
        <f>(Tableau2[[#This Row],[Nombre total d''unités produites]]-Tableau2[[#This Row],[Nombre d''unités défectueuses]])/Tableau2[[#This Row],[Nombre total d''unités produites]]</f>
        <v>0.96957746478873241</v>
      </c>
      <c r="J240" s="4">
        <f>Tableau2[[#This Row],[Disponibilité]]*Tableau2[[#This Row],[Performance]]*Tableau2[[#This Row],[Qualité]]</f>
        <v>0.75627042253521126</v>
      </c>
    </row>
    <row r="241" spans="1:10" x14ac:dyDescent="0.3">
      <c r="A241" s="2">
        <v>45525</v>
      </c>
      <c r="B241" s="3">
        <v>1</v>
      </c>
      <c r="C241" s="3">
        <v>3</v>
      </c>
      <c r="D241">
        <v>84</v>
      </c>
      <c r="E241">
        <v>2120</v>
      </c>
      <c r="F241">
        <v>49</v>
      </c>
      <c r="G241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241" s="3">
        <f>Tableau2[[#This Row],[Vitesse de production réelle (unités/heure)]]/vitesseTheorique</f>
        <v>0.84</v>
      </c>
      <c r="I241" s="4">
        <f>(Tableau2[[#This Row],[Nombre total d''unités produites]]-Tableau2[[#This Row],[Nombre d''unités défectueuses]])/Tableau2[[#This Row],[Nombre total d''unités produites]]</f>
        <v>0.97688679245283017</v>
      </c>
      <c r="J241" s="4">
        <f>Tableau2[[#This Row],[Disponibilité]]*Tableau2[[#This Row],[Performance]]*Tableau2[[#This Row],[Qualité]]</f>
        <v>0.71355209187858903</v>
      </c>
    </row>
    <row r="242" spans="1:10" x14ac:dyDescent="0.3">
      <c r="A242" s="2">
        <v>45526</v>
      </c>
      <c r="B242" s="3">
        <v>3</v>
      </c>
      <c r="C242" s="3">
        <v>3</v>
      </c>
      <c r="D242">
        <v>92</v>
      </c>
      <c r="E242">
        <v>2112</v>
      </c>
      <c r="F242">
        <v>24</v>
      </c>
      <c r="G242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242" s="3">
        <f>Tableau2[[#This Row],[Vitesse de production réelle (unités/heure)]]/vitesseTheorique</f>
        <v>0.92</v>
      </c>
      <c r="I242" s="4">
        <f>(Tableau2[[#This Row],[Nombre total d''unités produites]]-Tableau2[[#This Row],[Nombre d''unités défectueuses]])/Tableau2[[#This Row],[Nombre total d''unités produites]]</f>
        <v>0.98863636363636365</v>
      </c>
      <c r="J242" s="4">
        <f>Tableau2[[#This Row],[Disponibilité]]*Tableau2[[#This Row],[Performance]]*Tableau2[[#This Row],[Qualité]]</f>
        <v>0.77961038961038964</v>
      </c>
    </row>
    <row r="243" spans="1:10" x14ac:dyDescent="0.3">
      <c r="A243" s="2">
        <v>45527</v>
      </c>
      <c r="B243" s="3">
        <v>3</v>
      </c>
      <c r="C243" s="3">
        <v>1</v>
      </c>
      <c r="D243">
        <v>82</v>
      </c>
      <c r="E243">
        <v>1749</v>
      </c>
      <c r="F243">
        <v>49</v>
      </c>
      <c r="G243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243" s="3">
        <f>Tableau2[[#This Row],[Vitesse de production réelle (unités/heure)]]/vitesseTheorique</f>
        <v>0.82</v>
      </c>
      <c r="I243" s="4">
        <f>(Tableau2[[#This Row],[Nombre total d''unités produites]]-Tableau2[[#This Row],[Nombre d''unités défectueuses]])/Tableau2[[#This Row],[Nombre total d''unités produites]]</f>
        <v>0.97198399085191534</v>
      </c>
      <c r="J243" s="4">
        <f>Tableau2[[#This Row],[Disponibilité]]*Tableau2[[#This Row],[Performance]]*Tableau2[[#This Row],[Qualité]]</f>
        <v>0.75907321190340049</v>
      </c>
    </row>
    <row r="244" spans="1:10" x14ac:dyDescent="0.3">
      <c r="A244" s="2">
        <v>45528</v>
      </c>
      <c r="B244" s="3">
        <v>2</v>
      </c>
      <c r="C244" s="3">
        <v>1</v>
      </c>
      <c r="D244">
        <v>86</v>
      </c>
      <c r="E244">
        <v>1734</v>
      </c>
      <c r="F244">
        <v>25</v>
      </c>
      <c r="G244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244" s="3">
        <f>Tableau2[[#This Row],[Vitesse de production réelle (unités/heure)]]/vitesseTheorique</f>
        <v>0.86</v>
      </c>
      <c r="I244" s="4">
        <f>(Tableau2[[#This Row],[Nombre total d''unités produites]]-Tableau2[[#This Row],[Nombre d''unités défectueuses]])/Tableau2[[#This Row],[Nombre total d''unités produites]]</f>
        <v>0.98558246828143026</v>
      </c>
      <c r="J244" s="4">
        <f>Tableau2[[#This Row],[Disponibilité]]*Tableau2[[#This Row],[Performance]]*Tableau2[[#This Row],[Qualité]]</f>
        <v>0.80907360805284689</v>
      </c>
    </row>
    <row r="245" spans="1:10" x14ac:dyDescent="0.3">
      <c r="A245" s="2">
        <v>45529</v>
      </c>
      <c r="B245" s="3">
        <v>2</v>
      </c>
      <c r="C245" s="3">
        <v>2</v>
      </c>
      <c r="D245">
        <v>98</v>
      </c>
      <c r="E245">
        <v>1937</v>
      </c>
      <c r="F245">
        <v>22</v>
      </c>
      <c r="G245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245" s="3">
        <f>Tableau2[[#This Row],[Vitesse de production réelle (unités/heure)]]/vitesseTheorique</f>
        <v>0.98</v>
      </c>
      <c r="I245" s="4">
        <f>(Tableau2[[#This Row],[Nombre total d''unités produites]]-Tableau2[[#This Row],[Nombre d''unités défectueuses]])/Tableau2[[#This Row],[Nombre total d''unités produites]]</f>
        <v>0.98864223025296849</v>
      </c>
      <c r="J245" s="4">
        <f>Tableau2[[#This Row],[Disponibilité]]*Tableau2[[#This Row],[Performance]]*Tableau2[[#This Row],[Qualité]]</f>
        <v>0.88079035058900823</v>
      </c>
    </row>
    <row r="246" spans="1:10" x14ac:dyDescent="0.3">
      <c r="A246" s="2">
        <v>45530</v>
      </c>
      <c r="B246" s="3">
        <v>3</v>
      </c>
      <c r="C246" s="3">
        <v>1</v>
      </c>
      <c r="D246">
        <v>96</v>
      </c>
      <c r="E246">
        <v>2264</v>
      </c>
      <c r="F246">
        <v>39</v>
      </c>
      <c r="G246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246" s="3">
        <f>Tableau2[[#This Row],[Vitesse de production réelle (unités/heure)]]/vitesseTheorique</f>
        <v>0.96</v>
      </c>
      <c r="I246" s="4">
        <f>(Tableau2[[#This Row],[Nombre total d''unités produites]]-Tableau2[[#This Row],[Nombre d''unités défectueuses]])/Tableau2[[#This Row],[Nombre total d''unités produites]]</f>
        <v>0.982773851590106</v>
      </c>
      <c r="J246" s="4">
        <f>Tableau2[[#This Row],[Disponibilité]]*Tableau2[[#This Row],[Performance]]*Tableau2[[#This Row],[Qualité]]</f>
        <v>0.89853609288238245</v>
      </c>
    </row>
    <row r="247" spans="1:10" x14ac:dyDescent="0.3">
      <c r="A247" s="2">
        <v>45531</v>
      </c>
      <c r="B247" s="3">
        <v>1</v>
      </c>
      <c r="C247" s="3">
        <v>2</v>
      </c>
      <c r="D247">
        <v>82</v>
      </c>
      <c r="E247">
        <v>1993</v>
      </c>
      <c r="F247">
        <v>46</v>
      </c>
      <c r="G247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247" s="3">
        <f>Tableau2[[#This Row],[Vitesse de production réelle (unités/heure)]]/vitesseTheorique</f>
        <v>0.82</v>
      </c>
      <c r="I247" s="4">
        <f>(Tableau2[[#This Row],[Nombre total d''unités produites]]-Tableau2[[#This Row],[Nombre d''unités défectueuses]])/Tableau2[[#This Row],[Nombre total d''unités produites]]</f>
        <v>0.97691921726041142</v>
      </c>
      <c r="J247" s="4">
        <f>Tableau2[[#This Row],[Disponibilité]]*Tableau2[[#This Row],[Performance]]*Tableau2[[#This Row],[Qualité]]</f>
        <v>0.7314151704880123</v>
      </c>
    </row>
    <row r="248" spans="1:10" x14ac:dyDescent="0.3">
      <c r="A248" s="2">
        <v>45532</v>
      </c>
      <c r="B248" s="3">
        <v>3</v>
      </c>
      <c r="C248" s="3">
        <v>1</v>
      </c>
      <c r="D248">
        <v>89</v>
      </c>
      <c r="E248">
        <v>2009</v>
      </c>
      <c r="F248">
        <v>23</v>
      </c>
      <c r="G248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248" s="3">
        <f>Tableau2[[#This Row],[Vitesse de production réelle (unités/heure)]]/vitesseTheorique</f>
        <v>0.89</v>
      </c>
      <c r="I248" s="4">
        <f>(Tableau2[[#This Row],[Nombre total d''unités produites]]-Tableau2[[#This Row],[Nombre d''unités défectueuses]])/Tableau2[[#This Row],[Nombre total d''unités produites]]</f>
        <v>0.98855151816824294</v>
      </c>
      <c r="J248" s="4">
        <f>Tableau2[[#This Row],[Disponibilité]]*Tableau2[[#This Row],[Performance]]*Tableau2[[#This Row],[Qualité]]</f>
        <v>0.83791509635212968</v>
      </c>
    </row>
    <row r="249" spans="1:10" x14ac:dyDescent="0.3">
      <c r="A249" s="2">
        <v>45533</v>
      </c>
      <c r="B249" s="3">
        <v>1</v>
      </c>
      <c r="C249" s="3">
        <v>3</v>
      </c>
      <c r="D249">
        <v>80</v>
      </c>
      <c r="E249">
        <v>1928</v>
      </c>
      <c r="F249">
        <v>24</v>
      </c>
      <c r="G249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249" s="3">
        <f>Tableau2[[#This Row],[Vitesse de production réelle (unités/heure)]]/vitesseTheorique</f>
        <v>0.8</v>
      </c>
      <c r="I249" s="4">
        <f>(Tableau2[[#This Row],[Nombre total d''unités produites]]-Tableau2[[#This Row],[Nombre d''unités défectueuses]])/Tableau2[[#This Row],[Nombre total d''unités produites]]</f>
        <v>0.98755186721991706</v>
      </c>
      <c r="J249" s="4">
        <f>Tableau2[[#This Row],[Disponibilité]]*Tableau2[[#This Row],[Performance]]*Tableau2[[#This Row],[Qualité]]</f>
        <v>0.68699260328342049</v>
      </c>
    </row>
    <row r="250" spans="1:10" x14ac:dyDescent="0.3">
      <c r="A250" s="2">
        <v>45534</v>
      </c>
      <c r="B250" s="3">
        <v>3</v>
      </c>
      <c r="C250" s="3">
        <v>1</v>
      </c>
      <c r="D250">
        <v>90</v>
      </c>
      <c r="E250">
        <v>2182</v>
      </c>
      <c r="F250">
        <v>58</v>
      </c>
      <c r="G250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250" s="3">
        <f>Tableau2[[#This Row],[Vitesse de production réelle (unités/heure)]]/vitesseTheorique</f>
        <v>0.9</v>
      </c>
      <c r="I250" s="4">
        <f>(Tableau2[[#This Row],[Nombre total d''unités produites]]-Tableau2[[#This Row],[Nombre d''unités défectueuses]])/Tableau2[[#This Row],[Nombre total d''unités produites]]</f>
        <v>0.97341888175985336</v>
      </c>
      <c r="J250" s="4">
        <f>Tableau2[[#This Row],[Disponibilité]]*Tableau2[[#This Row],[Performance]]*Tableau2[[#This Row],[Qualité]]</f>
        <v>0.83435904150844564</v>
      </c>
    </row>
    <row r="251" spans="1:10" x14ac:dyDescent="0.3">
      <c r="A251" s="2">
        <v>45535</v>
      </c>
      <c r="B251" s="3">
        <v>3</v>
      </c>
      <c r="C251" s="3">
        <v>1</v>
      </c>
      <c r="D251">
        <v>84</v>
      </c>
      <c r="E251">
        <v>2284</v>
      </c>
      <c r="F251">
        <v>51</v>
      </c>
      <c r="G251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251" s="3">
        <f>Tableau2[[#This Row],[Vitesse de production réelle (unités/heure)]]/vitesseTheorique</f>
        <v>0.84</v>
      </c>
      <c r="I251" s="4">
        <f>(Tableau2[[#This Row],[Nombre total d''unités produites]]-Tableau2[[#This Row],[Nombre d''unités défectueuses]])/Tableau2[[#This Row],[Nombre total d''unités produites]]</f>
        <v>0.97767075306479856</v>
      </c>
      <c r="J251" s="4">
        <f>Tableau2[[#This Row],[Disponibilité]]*Tableau2[[#This Row],[Performance]]*Tableau2[[#This Row],[Qualité]]</f>
        <v>0.7821366024518388</v>
      </c>
    </row>
    <row r="252" spans="1:10" x14ac:dyDescent="0.3">
      <c r="A252" s="2">
        <v>45536</v>
      </c>
      <c r="B252" s="3">
        <v>2</v>
      </c>
      <c r="C252" s="3">
        <v>2</v>
      </c>
      <c r="D252">
        <v>92</v>
      </c>
      <c r="E252">
        <v>1742</v>
      </c>
      <c r="F252">
        <v>39</v>
      </c>
      <c r="G252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252" s="3">
        <f>Tableau2[[#This Row],[Vitesse de production réelle (unités/heure)]]/vitesseTheorique</f>
        <v>0.92</v>
      </c>
      <c r="I252" s="4">
        <f>(Tableau2[[#This Row],[Nombre total d''unités produites]]-Tableau2[[#This Row],[Nombre d''unités défectueuses]])/Tableau2[[#This Row],[Nombre total d''unités produites]]</f>
        <v>0.97761194029850751</v>
      </c>
      <c r="J252" s="4">
        <f>Tableau2[[#This Row],[Disponibilité]]*Tableau2[[#This Row],[Performance]]*Tableau2[[#This Row],[Qualité]]</f>
        <v>0.81763907734056995</v>
      </c>
    </row>
    <row r="253" spans="1:10" x14ac:dyDescent="0.3">
      <c r="A253" s="2">
        <v>45537</v>
      </c>
      <c r="B253" s="3">
        <v>1</v>
      </c>
      <c r="C253" s="3">
        <v>3</v>
      </c>
      <c r="D253">
        <v>80</v>
      </c>
      <c r="E253">
        <v>1889</v>
      </c>
      <c r="F253">
        <v>55</v>
      </c>
      <c r="G253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253" s="3">
        <f>Tableau2[[#This Row],[Vitesse de production réelle (unités/heure)]]/vitesseTheorique</f>
        <v>0.8</v>
      </c>
      <c r="I253" s="4">
        <f>(Tableau2[[#This Row],[Nombre total d''unités produites]]-Tableau2[[#This Row],[Nombre d''unités défectueuses]])/Tableau2[[#This Row],[Nombre total d''unités produites]]</f>
        <v>0.97088406564319751</v>
      </c>
      <c r="J253" s="4">
        <f>Tableau2[[#This Row],[Disponibilité]]*Tableau2[[#This Row],[Performance]]*Tableau2[[#This Row],[Qualité]]</f>
        <v>0.67539761088222439</v>
      </c>
    </row>
    <row r="254" spans="1:10" x14ac:dyDescent="0.3">
      <c r="A254" s="2">
        <v>45538</v>
      </c>
      <c r="B254" s="3">
        <v>3</v>
      </c>
      <c r="C254" s="3">
        <v>2</v>
      </c>
      <c r="D254">
        <v>93</v>
      </c>
      <c r="E254">
        <v>2120</v>
      </c>
      <c r="F254">
        <v>36</v>
      </c>
      <c r="G254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254" s="3">
        <f>Tableau2[[#This Row],[Vitesse de production réelle (unités/heure)]]/vitesseTheorique</f>
        <v>0.93</v>
      </c>
      <c r="I254" s="4">
        <f>(Tableau2[[#This Row],[Nombre total d''unités produites]]-Tableau2[[#This Row],[Nombre d''unités défectueuses]])/Tableau2[[#This Row],[Nombre total d''unités produites]]</f>
        <v>0.98301886792452831</v>
      </c>
      <c r="J254" s="4">
        <f>Tableau2[[#This Row],[Disponibilité]]*Tableau2[[#This Row],[Performance]]*Tableau2[[#This Row],[Qualité]]</f>
        <v>0.82714016172506744</v>
      </c>
    </row>
    <row r="255" spans="1:10" x14ac:dyDescent="0.3">
      <c r="A255" s="2">
        <v>45539</v>
      </c>
      <c r="B255" s="3">
        <v>3</v>
      </c>
      <c r="C255" s="3">
        <v>2</v>
      </c>
      <c r="D255">
        <v>85</v>
      </c>
      <c r="E255">
        <v>1750</v>
      </c>
      <c r="F255">
        <v>52</v>
      </c>
      <c r="G255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255" s="3">
        <f>Tableau2[[#This Row],[Vitesse de production réelle (unités/heure)]]/vitesseTheorique</f>
        <v>0.85</v>
      </c>
      <c r="I255" s="4">
        <f>(Tableau2[[#This Row],[Nombre total d''unités produites]]-Tableau2[[#This Row],[Nombre d''unités défectueuses]])/Tableau2[[#This Row],[Nombre total d''unités produites]]</f>
        <v>0.97028571428571431</v>
      </c>
      <c r="J255" s="4">
        <f>Tableau2[[#This Row],[Disponibilité]]*Tableau2[[#This Row],[Performance]]*Tableau2[[#This Row],[Qualité]]</f>
        <v>0.74619591836734689</v>
      </c>
    </row>
    <row r="256" spans="1:10" x14ac:dyDescent="0.3">
      <c r="A256" s="2">
        <v>45540</v>
      </c>
      <c r="B256" s="3">
        <v>2</v>
      </c>
      <c r="C256" s="3">
        <v>3</v>
      </c>
      <c r="D256">
        <v>90</v>
      </c>
      <c r="E256">
        <v>2294</v>
      </c>
      <c r="F256">
        <v>22</v>
      </c>
      <c r="G256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56" s="3">
        <f>Tableau2[[#This Row],[Vitesse de production réelle (unités/heure)]]/vitesseTheorique</f>
        <v>0.9</v>
      </c>
      <c r="I256" s="4">
        <f>(Tableau2[[#This Row],[Nombre total d''unités produites]]-Tableau2[[#This Row],[Nombre d''unités défectueuses]])/Tableau2[[#This Row],[Nombre total d''unités produites]]</f>
        <v>0.99040976460331298</v>
      </c>
      <c r="J256" s="4">
        <f>Tableau2[[#This Row],[Disponibilité]]*Tableau2[[#This Row],[Performance]]*Tableau2[[#This Row],[Qualité]]</f>
        <v>0.76981849885075693</v>
      </c>
    </row>
    <row r="257" spans="1:10" x14ac:dyDescent="0.3">
      <c r="A257" s="2">
        <v>45541</v>
      </c>
      <c r="B257" s="3">
        <v>2</v>
      </c>
      <c r="C257" s="3">
        <v>2</v>
      </c>
      <c r="D257">
        <v>86</v>
      </c>
      <c r="E257">
        <v>1904</v>
      </c>
      <c r="F257">
        <v>27</v>
      </c>
      <c r="G257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257" s="3">
        <f>Tableau2[[#This Row],[Vitesse de production réelle (unités/heure)]]/vitesseTheorique</f>
        <v>0.86</v>
      </c>
      <c r="I257" s="4">
        <f>(Tableau2[[#This Row],[Nombre total d''unités produites]]-Tableau2[[#This Row],[Nombre d''unités défectueuses]])/Tableau2[[#This Row],[Nombre total d''unités produites]]</f>
        <v>0.98581932773109249</v>
      </c>
      <c r="J257" s="4">
        <f>Tableau2[[#This Row],[Disponibilité]]*Tableau2[[#This Row],[Performance]]*Tableau2[[#This Row],[Qualité]]</f>
        <v>0.77073147440794498</v>
      </c>
    </row>
    <row r="258" spans="1:10" x14ac:dyDescent="0.3">
      <c r="A258" s="2">
        <v>45542</v>
      </c>
      <c r="B258" s="3">
        <v>2</v>
      </c>
      <c r="C258" s="3">
        <v>3</v>
      </c>
      <c r="D258">
        <v>84</v>
      </c>
      <c r="E258">
        <v>1811</v>
      </c>
      <c r="F258">
        <v>31</v>
      </c>
      <c r="G258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58" s="3">
        <f>Tableau2[[#This Row],[Vitesse de production réelle (unités/heure)]]/vitesseTheorique</f>
        <v>0.84</v>
      </c>
      <c r="I258" s="4">
        <f>(Tableau2[[#This Row],[Nombre total d''unités produites]]-Tableau2[[#This Row],[Nombre d''unités défectueuses]])/Tableau2[[#This Row],[Nombre total d''unités produites]]</f>
        <v>0.98288238542241857</v>
      </c>
      <c r="J258" s="4">
        <f>Tableau2[[#This Row],[Disponibilité]]*Tableau2[[#This Row],[Performance]]*Tableau2[[#This Row],[Qualité]]</f>
        <v>0.71303649415190007</v>
      </c>
    </row>
    <row r="259" spans="1:10" x14ac:dyDescent="0.3">
      <c r="A259" s="2">
        <v>45543</v>
      </c>
      <c r="B259" s="3">
        <v>3</v>
      </c>
      <c r="C259" s="3">
        <v>3</v>
      </c>
      <c r="D259">
        <v>93</v>
      </c>
      <c r="E259">
        <v>1809</v>
      </c>
      <c r="F259">
        <v>60</v>
      </c>
      <c r="G259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259" s="3">
        <f>Tableau2[[#This Row],[Vitesse de production réelle (unités/heure)]]/vitesseTheorique</f>
        <v>0.93</v>
      </c>
      <c r="I259" s="4">
        <f>(Tableau2[[#This Row],[Nombre total d''unités produites]]-Tableau2[[#This Row],[Nombre d''unités défectueuses]])/Tableau2[[#This Row],[Nombre total d''unités produites]]</f>
        <v>0.96683250414593702</v>
      </c>
      <c r="J259" s="4">
        <f>Tableau2[[#This Row],[Disponibilité]]*Tableau2[[#This Row],[Performance]]*Tableau2[[#This Row],[Qualité]]</f>
        <v>0.77070362473347553</v>
      </c>
    </row>
    <row r="260" spans="1:10" x14ac:dyDescent="0.3">
      <c r="A260" s="2">
        <v>45544</v>
      </c>
      <c r="B260" s="3">
        <v>2</v>
      </c>
      <c r="C260" s="3">
        <v>3</v>
      </c>
      <c r="D260">
        <v>99</v>
      </c>
      <c r="E260">
        <v>1813</v>
      </c>
      <c r="F260">
        <v>42</v>
      </c>
      <c r="G260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60" s="3">
        <f>Tableau2[[#This Row],[Vitesse de production réelle (unités/heure)]]/vitesseTheorique</f>
        <v>0.99</v>
      </c>
      <c r="I260" s="4">
        <f>(Tableau2[[#This Row],[Nombre total d''unités produites]]-Tableau2[[#This Row],[Nombre d''unités défectueuses]])/Tableau2[[#This Row],[Nombre total d''unités produites]]</f>
        <v>0.97683397683397688</v>
      </c>
      <c r="J260" s="4">
        <f>Tableau2[[#This Row],[Disponibilité]]*Tableau2[[#This Row],[Performance]]*Tableau2[[#This Row],[Qualité]]</f>
        <v>0.83519305019305023</v>
      </c>
    </row>
    <row r="261" spans="1:10" x14ac:dyDescent="0.3">
      <c r="A261" s="2">
        <v>45545</v>
      </c>
      <c r="B261" s="3">
        <v>3</v>
      </c>
      <c r="C261" s="3">
        <v>3</v>
      </c>
      <c r="D261">
        <v>84</v>
      </c>
      <c r="E261">
        <v>1847</v>
      </c>
      <c r="F261">
        <v>23</v>
      </c>
      <c r="G261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261" s="3">
        <f>Tableau2[[#This Row],[Vitesse de production réelle (unités/heure)]]/vitesseTheorique</f>
        <v>0.84</v>
      </c>
      <c r="I261" s="4">
        <f>(Tableau2[[#This Row],[Nombre total d''unités produites]]-Tableau2[[#This Row],[Nombre d''unités défectueuses]])/Tableau2[[#This Row],[Nombre total d''unités produites]]</f>
        <v>0.98754737412019489</v>
      </c>
      <c r="J261" s="4">
        <f>Tableau2[[#This Row],[Disponibilité]]*Tableau2[[#This Row],[Performance]]*Tableau2[[#This Row],[Qualité]]</f>
        <v>0.71103410936654032</v>
      </c>
    </row>
    <row r="262" spans="1:10" x14ac:dyDescent="0.3">
      <c r="A262" s="2">
        <v>45546</v>
      </c>
      <c r="B262" s="3">
        <v>2</v>
      </c>
      <c r="C262" s="3">
        <v>1</v>
      </c>
      <c r="D262">
        <v>89</v>
      </c>
      <c r="E262">
        <v>1733</v>
      </c>
      <c r="F262">
        <v>31</v>
      </c>
      <c r="G262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262" s="3">
        <f>Tableau2[[#This Row],[Vitesse de production réelle (unités/heure)]]/vitesseTheorique</f>
        <v>0.89</v>
      </c>
      <c r="I262" s="4">
        <f>(Tableau2[[#This Row],[Nombre total d''unités produites]]-Tableau2[[#This Row],[Nombre d''unités défectueuses]])/Tableau2[[#This Row],[Nombre total d''unités produites]]</f>
        <v>0.98211194460473172</v>
      </c>
      <c r="J262" s="4">
        <f>Tableau2[[#This Row],[Disponibilité]]*Tableau2[[#This Row],[Performance]]*Tableau2[[#This Row],[Qualité]]</f>
        <v>0.83434873839374712</v>
      </c>
    </row>
    <row r="263" spans="1:10" x14ac:dyDescent="0.3">
      <c r="A263" s="2">
        <v>45547</v>
      </c>
      <c r="B263" s="3">
        <v>1</v>
      </c>
      <c r="C263" s="3">
        <v>1</v>
      </c>
      <c r="D263">
        <v>84</v>
      </c>
      <c r="E263">
        <v>2061</v>
      </c>
      <c r="F263">
        <v>28</v>
      </c>
      <c r="G263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263" s="3">
        <f>Tableau2[[#This Row],[Vitesse de production réelle (unités/heure)]]/vitesseTheorique</f>
        <v>0.84</v>
      </c>
      <c r="I263" s="4">
        <f>(Tableau2[[#This Row],[Nombre total d''unités produites]]-Tableau2[[#This Row],[Nombre d''unités défectueuses]])/Tableau2[[#This Row],[Nombre total d''unités produites]]</f>
        <v>0.98641436196021348</v>
      </c>
      <c r="J263" s="4">
        <f>Tableau2[[#This Row],[Disponibilité]]*Tableau2[[#This Row],[Performance]]*Tableau2[[#This Row],[Qualité]]</f>
        <v>0.79256249604455409</v>
      </c>
    </row>
    <row r="264" spans="1:10" x14ac:dyDescent="0.3">
      <c r="A264" s="2">
        <v>45548</v>
      </c>
      <c r="B264" s="3">
        <v>3</v>
      </c>
      <c r="C264" s="3">
        <v>3</v>
      </c>
      <c r="D264">
        <v>100</v>
      </c>
      <c r="E264">
        <v>1704</v>
      </c>
      <c r="F264">
        <v>22</v>
      </c>
      <c r="G264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264" s="3">
        <f>Tableau2[[#This Row],[Vitesse de production réelle (unités/heure)]]/vitesseTheorique</f>
        <v>1</v>
      </c>
      <c r="I264" s="4">
        <f>(Tableau2[[#This Row],[Nombre total d''unités produites]]-Tableau2[[#This Row],[Nombre d''unités défectueuses]])/Tableau2[[#This Row],[Nombre total d''unités produites]]</f>
        <v>0.98708920187793425</v>
      </c>
      <c r="J264" s="4">
        <f>Tableau2[[#This Row],[Disponibilité]]*Tableau2[[#This Row],[Performance]]*Tableau2[[#This Row],[Qualité]]</f>
        <v>0.84607645875251503</v>
      </c>
    </row>
    <row r="265" spans="1:10" x14ac:dyDescent="0.3">
      <c r="A265" s="2">
        <v>45549</v>
      </c>
      <c r="B265" s="3">
        <v>1</v>
      </c>
      <c r="C265" s="3">
        <v>3</v>
      </c>
      <c r="D265">
        <v>100</v>
      </c>
      <c r="E265">
        <v>1953</v>
      </c>
      <c r="F265">
        <v>24</v>
      </c>
      <c r="G265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265" s="3">
        <f>Tableau2[[#This Row],[Vitesse de production réelle (unités/heure)]]/vitesseTheorique</f>
        <v>1</v>
      </c>
      <c r="I265" s="4">
        <f>(Tableau2[[#This Row],[Nombre total d''unités produites]]-Tableau2[[#This Row],[Nombre d''unités défectueuses]])/Tableau2[[#This Row],[Nombre total d''unités produites]]</f>
        <v>0.98771121351766511</v>
      </c>
      <c r="J265" s="4">
        <f>Tableau2[[#This Row],[Disponibilité]]*Tableau2[[#This Row],[Performance]]*Tableau2[[#This Row],[Qualité]]</f>
        <v>0.85887931610231749</v>
      </c>
    </row>
    <row r="266" spans="1:10" x14ac:dyDescent="0.3">
      <c r="A266" s="2">
        <v>45550</v>
      </c>
      <c r="B266" s="3">
        <v>1</v>
      </c>
      <c r="C266" s="3">
        <v>2</v>
      </c>
      <c r="D266">
        <v>93</v>
      </c>
      <c r="E266">
        <v>2051</v>
      </c>
      <c r="F266">
        <v>37</v>
      </c>
      <c r="G266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266" s="3">
        <f>Tableau2[[#This Row],[Vitesse de production réelle (unités/heure)]]/vitesseTheorique</f>
        <v>0.93</v>
      </c>
      <c r="I266" s="4">
        <f>(Tableau2[[#This Row],[Nombre total d''unités produites]]-Tableau2[[#This Row],[Nombre d''unités défectueuses]])/Tableau2[[#This Row],[Nombre total d''unités produites]]</f>
        <v>0.98196001950268164</v>
      </c>
      <c r="J266" s="4">
        <f>Tableau2[[#This Row],[Disponibilité]]*Tableau2[[#This Row],[Performance]]*Tableau2[[#This Row],[Qualité]]</f>
        <v>0.833812138299451</v>
      </c>
    </row>
    <row r="267" spans="1:10" x14ac:dyDescent="0.3">
      <c r="A267" s="2">
        <v>45551</v>
      </c>
      <c r="B267" s="3">
        <v>1</v>
      </c>
      <c r="C267" s="3">
        <v>3</v>
      </c>
      <c r="D267">
        <v>95</v>
      </c>
      <c r="E267">
        <v>2060</v>
      </c>
      <c r="F267">
        <v>28</v>
      </c>
      <c r="G267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267" s="3">
        <f>Tableau2[[#This Row],[Vitesse de production réelle (unités/heure)]]/vitesseTheorique</f>
        <v>0.95</v>
      </c>
      <c r="I267" s="4">
        <f>(Tableau2[[#This Row],[Nombre total d''unités produites]]-Tableau2[[#This Row],[Nombre d''unités défectueuses]])/Tableau2[[#This Row],[Nombre total d''unités produites]]</f>
        <v>0.98640776699029131</v>
      </c>
      <c r="J267" s="4">
        <f>Tableau2[[#This Row],[Disponibilité]]*Tableau2[[#This Row],[Performance]]*Tableau2[[#This Row],[Qualité]]</f>
        <v>0.81485859012241446</v>
      </c>
    </row>
    <row r="268" spans="1:10" x14ac:dyDescent="0.3">
      <c r="A268" s="2">
        <v>45552</v>
      </c>
      <c r="B268" s="3">
        <v>3</v>
      </c>
      <c r="C268" s="3">
        <v>2</v>
      </c>
      <c r="D268">
        <v>89</v>
      </c>
      <c r="E268">
        <v>2231</v>
      </c>
      <c r="F268">
        <v>43</v>
      </c>
      <c r="G268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268" s="3">
        <f>Tableau2[[#This Row],[Vitesse de production réelle (unités/heure)]]/vitesseTheorique</f>
        <v>0.89</v>
      </c>
      <c r="I268" s="4">
        <f>(Tableau2[[#This Row],[Nombre total d''unités produites]]-Tableau2[[#This Row],[Nombre d''unités défectueuses]])/Tableau2[[#This Row],[Nombre total d''unités produites]]</f>
        <v>0.9807261317794711</v>
      </c>
      <c r="J268" s="4">
        <f>Tableau2[[#This Row],[Disponibilité]]*Tableau2[[#This Row],[Performance]]*Tableau2[[#This Row],[Qualité]]</f>
        <v>0.78971804230432652</v>
      </c>
    </row>
    <row r="269" spans="1:10" x14ac:dyDescent="0.3">
      <c r="A269" s="2">
        <v>45553</v>
      </c>
      <c r="B269" s="3">
        <v>3</v>
      </c>
      <c r="C269" s="3">
        <v>2</v>
      </c>
      <c r="D269">
        <v>96</v>
      </c>
      <c r="E269">
        <v>2116</v>
      </c>
      <c r="F269">
        <v>40</v>
      </c>
      <c r="G269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269" s="3">
        <f>Tableau2[[#This Row],[Vitesse de production réelle (unités/heure)]]/vitesseTheorique</f>
        <v>0.96</v>
      </c>
      <c r="I269" s="4">
        <f>(Tableau2[[#This Row],[Nombre total d''unités produites]]-Tableau2[[#This Row],[Nombre d''unités défectueuses]])/Tableau2[[#This Row],[Nombre total d''unités produites]]</f>
        <v>0.98109640831758038</v>
      </c>
      <c r="J269" s="4">
        <f>Tableau2[[#This Row],[Disponibilité]]*Tableau2[[#This Row],[Performance]]*Tableau2[[#This Row],[Qualité]]</f>
        <v>0.85215230893869842</v>
      </c>
    </row>
    <row r="270" spans="1:10" x14ac:dyDescent="0.3">
      <c r="A270" s="2">
        <v>45554</v>
      </c>
      <c r="B270" s="3">
        <v>3</v>
      </c>
      <c r="C270" s="3">
        <v>2</v>
      </c>
      <c r="D270">
        <v>85</v>
      </c>
      <c r="E270">
        <v>2278</v>
      </c>
      <c r="F270">
        <v>33</v>
      </c>
      <c r="G270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270" s="3">
        <f>Tableau2[[#This Row],[Vitesse de production réelle (unités/heure)]]/vitesseTheorique</f>
        <v>0.85</v>
      </c>
      <c r="I270" s="4">
        <f>(Tableau2[[#This Row],[Nombre total d''unités produites]]-Tableau2[[#This Row],[Nombre d''unités défectueuses]])/Tableau2[[#This Row],[Nombre total d''unités produites]]</f>
        <v>0.98551360842844604</v>
      </c>
      <c r="J270" s="4">
        <f>Tableau2[[#This Row],[Disponibilité]]*Tableau2[[#This Row],[Performance]]*Tableau2[[#This Row],[Qualité]]</f>
        <v>0.75790689410092393</v>
      </c>
    </row>
    <row r="271" spans="1:10" x14ac:dyDescent="0.3">
      <c r="A271" s="2">
        <v>45555</v>
      </c>
      <c r="B271" s="3">
        <v>1</v>
      </c>
      <c r="C271" s="3">
        <v>2</v>
      </c>
      <c r="D271">
        <v>87</v>
      </c>
      <c r="E271">
        <v>2231</v>
      </c>
      <c r="F271">
        <v>24</v>
      </c>
      <c r="G271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271" s="3">
        <f>Tableau2[[#This Row],[Vitesse de production réelle (unités/heure)]]/vitesseTheorique</f>
        <v>0.87</v>
      </c>
      <c r="I271" s="4">
        <f>(Tableau2[[#This Row],[Nombre total d''unités produites]]-Tableau2[[#This Row],[Nombre d''unités défectueuses]])/Tableau2[[#This Row],[Nombre total d''unités produites]]</f>
        <v>0.98924249215598381</v>
      </c>
      <c r="J271" s="4">
        <f>Tableau2[[#This Row],[Disponibilité]]*Tableau2[[#This Row],[Performance]]*Tableau2[[#This Row],[Qualité]]</f>
        <v>0.78580262311694882</v>
      </c>
    </row>
    <row r="272" spans="1:10" x14ac:dyDescent="0.3">
      <c r="A272" s="2">
        <v>45556</v>
      </c>
      <c r="B272" s="3">
        <v>2</v>
      </c>
      <c r="C272" s="3">
        <v>1</v>
      </c>
      <c r="D272">
        <v>97</v>
      </c>
      <c r="E272">
        <v>1958</v>
      </c>
      <c r="F272">
        <v>32</v>
      </c>
      <c r="G272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272" s="3">
        <f>Tableau2[[#This Row],[Vitesse de production réelle (unités/heure)]]/vitesseTheorique</f>
        <v>0.97</v>
      </c>
      <c r="I272" s="4">
        <f>(Tableau2[[#This Row],[Nombre total d''unités produites]]-Tableau2[[#This Row],[Nombre d''unités défectueuses]])/Tableau2[[#This Row],[Nombre total d''unités produites]]</f>
        <v>0.98365679264555672</v>
      </c>
      <c r="J272" s="4">
        <f>Tableau2[[#This Row],[Disponibilité]]*Tableau2[[#This Row],[Performance]]*Tableau2[[#This Row],[Qualité]]</f>
        <v>0.91077676664499951</v>
      </c>
    </row>
    <row r="273" spans="1:10" x14ac:dyDescent="0.3">
      <c r="A273" s="2">
        <v>45557</v>
      </c>
      <c r="B273" s="3">
        <v>1</v>
      </c>
      <c r="C273" s="3">
        <v>3</v>
      </c>
      <c r="D273">
        <v>86</v>
      </c>
      <c r="E273">
        <v>1926</v>
      </c>
      <c r="F273">
        <v>51</v>
      </c>
      <c r="G273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273" s="3">
        <f>Tableau2[[#This Row],[Vitesse de production réelle (unités/heure)]]/vitesseTheorique</f>
        <v>0.86</v>
      </c>
      <c r="I273" s="4">
        <f>(Tableau2[[#This Row],[Nombre total d''unités produites]]-Tableau2[[#This Row],[Nombre d''unités défectueuses]])/Tableau2[[#This Row],[Nombre total d''unités produites]]</f>
        <v>0.97352024922118385</v>
      </c>
      <c r="J273" s="4">
        <f>Tableau2[[#This Row],[Disponibilité]]*Tableau2[[#This Row],[Performance]]*Tableau2[[#This Row],[Qualité]]</f>
        <v>0.72802383854801578</v>
      </c>
    </row>
    <row r="274" spans="1:10" x14ac:dyDescent="0.3">
      <c r="A274" s="2">
        <v>45558</v>
      </c>
      <c r="B274" s="3">
        <v>3</v>
      </c>
      <c r="C274" s="3">
        <v>1</v>
      </c>
      <c r="D274">
        <v>85</v>
      </c>
      <c r="E274">
        <v>2238</v>
      </c>
      <c r="F274">
        <v>44</v>
      </c>
      <c r="G274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274" s="3">
        <f>Tableau2[[#This Row],[Vitesse de production réelle (unités/heure)]]/vitesseTheorique</f>
        <v>0.85</v>
      </c>
      <c r="I274" s="4">
        <f>(Tableau2[[#This Row],[Nombre total d''unités produites]]-Tableau2[[#This Row],[Nombre d''unités défectueuses]])/Tableau2[[#This Row],[Nombre total d''unités produites]]</f>
        <v>0.98033958891867734</v>
      </c>
      <c r="J274" s="4">
        <f>Tableau2[[#This Row],[Disponibilité]]*Tableau2[[#This Row],[Performance]]*Tableau2[[#This Row],[Qualité]]</f>
        <v>0.79360823864845298</v>
      </c>
    </row>
    <row r="275" spans="1:10" x14ac:dyDescent="0.3">
      <c r="A275" s="2">
        <v>45559</v>
      </c>
      <c r="B275" s="3">
        <v>2</v>
      </c>
      <c r="C275" s="3">
        <v>3</v>
      </c>
      <c r="D275">
        <v>84</v>
      </c>
      <c r="E275">
        <v>2164</v>
      </c>
      <c r="F275">
        <v>60</v>
      </c>
      <c r="G275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75" s="3">
        <f>Tableau2[[#This Row],[Vitesse de production réelle (unités/heure)]]/vitesseTheorique</f>
        <v>0.84</v>
      </c>
      <c r="I275" s="4">
        <f>(Tableau2[[#This Row],[Nombre total d''unités produites]]-Tableau2[[#This Row],[Nombre d''unités défectueuses]])/Tableau2[[#This Row],[Nombre total d''unités produites]]</f>
        <v>0.97227356746765248</v>
      </c>
      <c r="J275" s="4">
        <f>Tableau2[[#This Row],[Disponibilité]]*Tableau2[[#This Row],[Performance]]*Tableau2[[#This Row],[Qualité]]</f>
        <v>0.70534027894471518</v>
      </c>
    </row>
    <row r="276" spans="1:10" x14ac:dyDescent="0.3">
      <c r="A276" s="2">
        <v>45560</v>
      </c>
      <c r="B276" s="3">
        <v>3</v>
      </c>
      <c r="C276" s="3">
        <v>2</v>
      </c>
      <c r="D276">
        <v>83</v>
      </c>
      <c r="E276">
        <v>1781</v>
      </c>
      <c r="F276">
        <v>38</v>
      </c>
      <c r="G276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276" s="3">
        <f>Tableau2[[#This Row],[Vitesse de production réelle (unités/heure)]]/vitesseTheorique</f>
        <v>0.83</v>
      </c>
      <c r="I276" s="4">
        <f>(Tableau2[[#This Row],[Nombre total d''unités produites]]-Tableau2[[#This Row],[Nombre d''unités défectueuses]])/Tableau2[[#This Row],[Nombre total d''unités produites]]</f>
        <v>0.97866367209432903</v>
      </c>
      <c r="J276" s="4">
        <f>Tableau2[[#This Row],[Disponibilité]]*Tableau2[[#This Row],[Performance]]*Tableau2[[#This Row],[Qualité]]</f>
        <v>0.73492981471083663</v>
      </c>
    </row>
    <row r="277" spans="1:10" x14ac:dyDescent="0.3">
      <c r="A277" s="2">
        <v>45561</v>
      </c>
      <c r="B277" s="3">
        <v>2</v>
      </c>
      <c r="C277" s="3">
        <v>1</v>
      </c>
      <c r="D277">
        <v>87</v>
      </c>
      <c r="E277">
        <v>2134</v>
      </c>
      <c r="F277">
        <v>35</v>
      </c>
      <c r="G277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277" s="3">
        <f>Tableau2[[#This Row],[Vitesse de production réelle (unités/heure)]]/vitesseTheorique</f>
        <v>0.87</v>
      </c>
      <c r="I277" s="4">
        <f>(Tableau2[[#This Row],[Nombre total d''unités produites]]-Tableau2[[#This Row],[Nombre d''unités défectueuses]])/Tableau2[[#This Row],[Nombre total d''unités produites]]</f>
        <v>0.98359887535145263</v>
      </c>
      <c r="J277" s="4">
        <f>Tableau2[[#This Row],[Disponibilité]]*Tableau2[[#This Row],[Performance]]*Tableau2[[#This Row],[Qualité]]</f>
        <v>0.81683415693959271</v>
      </c>
    </row>
    <row r="278" spans="1:10" x14ac:dyDescent="0.3">
      <c r="A278" s="2">
        <v>45562</v>
      </c>
      <c r="B278" s="3">
        <v>3</v>
      </c>
      <c r="C278" s="3">
        <v>2</v>
      </c>
      <c r="D278">
        <v>86</v>
      </c>
      <c r="E278">
        <v>1757</v>
      </c>
      <c r="F278">
        <v>22</v>
      </c>
      <c r="G278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278" s="3">
        <f>Tableau2[[#This Row],[Vitesse de production réelle (unités/heure)]]/vitesseTheorique</f>
        <v>0.86</v>
      </c>
      <c r="I278" s="4">
        <f>(Tableau2[[#This Row],[Nombre total d''unités produites]]-Tableau2[[#This Row],[Nombre d''unités défectueuses]])/Tableau2[[#This Row],[Nombre total d''unités produites]]</f>
        <v>0.98747865680136593</v>
      </c>
      <c r="J278" s="4">
        <f>Tableau2[[#This Row],[Disponibilité]]*Tableau2[[#This Row],[Performance]]*Tableau2[[#This Row],[Qualité]]</f>
        <v>0.7683524405778247</v>
      </c>
    </row>
    <row r="279" spans="1:10" x14ac:dyDescent="0.3">
      <c r="A279" s="2">
        <v>45563</v>
      </c>
      <c r="B279" s="3">
        <v>1</v>
      </c>
      <c r="C279" s="3">
        <v>1</v>
      </c>
      <c r="D279">
        <v>93</v>
      </c>
      <c r="E279">
        <v>2278</v>
      </c>
      <c r="F279">
        <v>23</v>
      </c>
      <c r="G279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279" s="3">
        <f>Tableau2[[#This Row],[Vitesse de production réelle (unités/heure)]]/vitesseTheorique</f>
        <v>0.93</v>
      </c>
      <c r="I279" s="4">
        <f>(Tableau2[[#This Row],[Nombre total d''unités produites]]-Tableau2[[#This Row],[Nombre d''unités défectueuses]])/Tableau2[[#This Row],[Nombre total d''unités produites]]</f>
        <v>0.98990342405618958</v>
      </c>
      <c r="J279" s="4">
        <f>Tableau2[[#This Row],[Disponibilité]]*Tableau2[[#This Row],[Performance]]*Tableau2[[#This Row],[Qualité]]</f>
        <v>0.88058365461694088</v>
      </c>
    </row>
    <row r="280" spans="1:10" x14ac:dyDescent="0.3">
      <c r="A280" s="2">
        <v>45564</v>
      </c>
      <c r="B280" s="3">
        <v>2</v>
      </c>
      <c r="C280" s="3">
        <v>3</v>
      </c>
      <c r="D280">
        <v>97</v>
      </c>
      <c r="E280">
        <v>1971</v>
      </c>
      <c r="F280">
        <v>30</v>
      </c>
      <c r="G280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80" s="3">
        <f>Tableau2[[#This Row],[Vitesse de production réelle (unités/heure)]]/vitesseTheorique</f>
        <v>0.97</v>
      </c>
      <c r="I280" s="4">
        <f>(Tableau2[[#This Row],[Nombre total d''unités produites]]-Tableau2[[#This Row],[Nombre d''unités défectueuses]])/Tableau2[[#This Row],[Nombre total d''unités produites]]</f>
        <v>0.984779299847793</v>
      </c>
      <c r="J280" s="4">
        <f>Tableau2[[#This Row],[Disponibilité]]*Tableau2[[#This Row],[Performance]]*Tableau2[[#This Row],[Qualité]]</f>
        <v>0.82497647709976485</v>
      </c>
    </row>
    <row r="281" spans="1:10" x14ac:dyDescent="0.3">
      <c r="A281" s="2">
        <v>45565</v>
      </c>
      <c r="B281" s="3">
        <v>3</v>
      </c>
      <c r="C281" s="3">
        <v>1</v>
      </c>
      <c r="D281">
        <v>96</v>
      </c>
      <c r="E281">
        <v>2276</v>
      </c>
      <c r="F281">
        <v>60</v>
      </c>
      <c r="G281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281" s="3">
        <f>Tableau2[[#This Row],[Vitesse de production réelle (unités/heure)]]/vitesseTheorique</f>
        <v>0.96</v>
      </c>
      <c r="I281" s="4">
        <f>(Tableau2[[#This Row],[Nombre total d''unités produites]]-Tableau2[[#This Row],[Nombre d''unités défectueuses]])/Tableau2[[#This Row],[Nombre total d''unités produites]]</f>
        <v>0.97363796133567659</v>
      </c>
      <c r="J281" s="4">
        <f>Tableau2[[#This Row],[Disponibilité]]*Tableau2[[#This Row],[Performance]]*Tableau2[[#This Row],[Qualité]]</f>
        <v>0.89018327893547555</v>
      </c>
    </row>
    <row r="282" spans="1:10" x14ac:dyDescent="0.3">
      <c r="A282" s="2">
        <v>45566</v>
      </c>
      <c r="B282" s="3">
        <v>3</v>
      </c>
      <c r="C282" s="3">
        <v>2</v>
      </c>
      <c r="D282">
        <v>81</v>
      </c>
      <c r="E282">
        <v>1881</v>
      </c>
      <c r="F282">
        <v>24</v>
      </c>
      <c r="G282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282" s="3">
        <f>Tableau2[[#This Row],[Vitesse de production réelle (unités/heure)]]/vitesseTheorique</f>
        <v>0.81</v>
      </c>
      <c r="I282" s="4">
        <f>(Tableau2[[#This Row],[Nombre total d''unités produites]]-Tableau2[[#This Row],[Nombre d''unités défectueuses]])/Tableau2[[#This Row],[Nombre total d''unités produites]]</f>
        <v>0.98724082934609247</v>
      </c>
      <c r="J282" s="4">
        <f>Tableau2[[#This Row],[Disponibilité]]*Tableau2[[#This Row],[Performance]]*Tableau2[[#This Row],[Qualité]]</f>
        <v>0.72350649350649354</v>
      </c>
    </row>
    <row r="283" spans="1:10" x14ac:dyDescent="0.3">
      <c r="A283" s="2">
        <v>45567</v>
      </c>
      <c r="B283" s="3">
        <v>1</v>
      </c>
      <c r="C283" s="3">
        <v>1</v>
      </c>
      <c r="D283">
        <v>99</v>
      </c>
      <c r="E283">
        <v>1743</v>
      </c>
      <c r="F283">
        <v>56</v>
      </c>
      <c r="G283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283" s="3">
        <f>Tableau2[[#This Row],[Vitesse de production réelle (unités/heure)]]/vitesseTheorique</f>
        <v>0.99</v>
      </c>
      <c r="I283" s="4">
        <f>(Tableau2[[#This Row],[Nombre total d''unités produites]]-Tableau2[[#This Row],[Nombre d''unités défectueuses]])/Tableau2[[#This Row],[Nombre total d''unités produites]]</f>
        <v>0.96787148594377514</v>
      </c>
      <c r="J283" s="4">
        <f>Tableau2[[#This Row],[Disponibilité]]*Tableau2[[#This Row],[Performance]]*Tableau2[[#This Row],[Qualité]]</f>
        <v>0.91653221581980104</v>
      </c>
    </row>
    <row r="284" spans="1:10" x14ac:dyDescent="0.3">
      <c r="A284" s="2">
        <v>45568</v>
      </c>
      <c r="B284" s="3">
        <v>2</v>
      </c>
      <c r="C284" s="3">
        <v>1</v>
      </c>
      <c r="D284">
        <v>91</v>
      </c>
      <c r="E284">
        <v>1867</v>
      </c>
      <c r="F284">
        <v>44</v>
      </c>
      <c r="G284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284" s="3">
        <f>Tableau2[[#This Row],[Vitesse de production réelle (unités/heure)]]/vitesseTheorique</f>
        <v>0.91</v>
      </c>
      <c r="I284" s="4">
        <f>(Tableau2[[#This Row],[Nombre total d''unités produites]]-Tableau2[[#This Row],[Nombre d''unités défectueuses]])/Tableau2[[#This Row],[Nombre total d''unités produites]]</f>
        <v>0.97643277986073918</v>
      </c>
      <c r="J284" s="4">
        <f>Tableau2[[#This Row],[Disponibilité]]*Tableau2[[#This Row],[Performance]]*Tableau2[[#This Row],[Qualité]]</f>
        <v>0.84816501923357845</v>
      </c>
    </row>
    <row r="285" spans="1:10" x14ac:dyDescent="0.3">
      <c r="A285" s="2">
        <v>45569</v>
      </c>
      <c r="B285" s="3">
        <v>1</v>
      </c>
      <c r="C285" s="3">
        <v>3</v>
      </c>
      <c r="D285">
        <v>83</v>
      </c>
      <c r="E285">
        <v>2100</v>
      </c>
      <c r="F285">
        <v>40</v>
      </c>
      <c r="G285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285" s="3">
        <f>Tableau2[[#This Row],[Vitesse de production réelle (unités/heure)]]/vitesseTheorique</f>
        <v>0.83</v>
      </c>
      <c r="I285" s="4">
        <f>(Tableau2[[#This Row],[Nombre total d''unités produites]]-Tableau2[[#This Row],[Nombre d''unités défectueuses]])/Tableau2[[#This Row],[Nombre total d''unités produites]]</f>
        <v>0.98095238095238091</v>
      </c>
      <c r="J285" s="4">
        <f>Tableau2[[#This Row],[Disponibilité]]*Tableau2[[#This Row],[Performance]]*Tableau2[[#This Row],[Qualité]]</f>
        <v>0.70799171842650099</v>
      </c>
    </row>
    <row r="286" spans="1:10" x14ac:dyDescent="0.3">
      <c r="A286" s="2">
        <v>45570</v>
      </c>
      <c r="B286" s="3">
        <v>1</v>
      </c>
      <c r="C286" s="3">
        <v>2</v>
      </c>
      <c r="D286">
        <v>83</v>
      </c>
      <c r="E286">
        <v>1717</v>
      </c>
      <c r="F286">
        <v>54</v>
      </c>
      <c r="G286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286" s="3">
        <f>Tableau2[[#This Row],[Vitesse de production réelle (unités/heure)]]/vitesseTheorique</f>
        <v>0.83</v>
      </c>
      <c r="I286" s="4">
        <f>(Tableau2[[#This Row],[Nombre total d''unités produites]]-Tableau2[[#This Row],[Nombre d''unités défectueuses]])/Tableau2[[#This Row],[Nombre total d''unités produites]]</f>
        <v>0.96854979615608616</v>
      </c>
      <c r="J286" s="4">
        <f>Tableau2[[#This Row],[Disponibilité]]*Tableau2[[#This Row],[Performance]]*Tableau2[[#This Row],[Qualité]]</f>
        <v>0.73399230204350352</v>
      </c>
    </row>
    <row r="287" spans="1:10" x14ac:dyDescent="0.3">
      <c r="A287" s="2">
        <v>45571</v>
      </c>
      <c r="B287" s="3">
        <v>2</v>
      </c>
      <c r="C287" s="3">
        <v>3</v>
      </c>
      <c r="D287">
        <v>81</v>
      </c>
      <c r="E287">
        <v>2120</v>
      </c>
      <c r="F287">
        <v>24</v>
      </c>
      <c r="G287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87" s="3">
        <f>Tableau2[[#This Row],[Vitesse de production réelle (unités/heure)]]/vitesseTheorique</f>
        <v>0.81</v>
      </c>
      <c r="I287" s="4">
        <f>(Tableau2[[#This Row],[Nombre total d''unités produites]]-Tableau2[[#This Row],[Nombre d''unités défectueuses]])/Tableau2[[#This Row],[Nombre total d''unités produites]]</f>
        <v>0.98867924528301887</v>
      </c>
      <c r="J287" s="4">
        <f>Tableau2[[#This Row],[Disponibilité]]*Tableau2[[#This Row],[Performance]]*Tableau2[[#This Row],[Qualité]]</f>
        <v>0.69162607204116644</v>
      </c>
    </row>
    <row r="288" spans="1:10" x14ac:dyDescent="0.3">
      <c r="A288" s="2">
        <v>45572</v>
      </c>
      <c r="B288" s="3">
        <v>2</v>
      </c>
      <c r="C288" s="3">
        <v>2</v>
      </c>
      <c r="D288">
        <v>90</v>
      </c>
      <c r="E288">
        <v>1986</v>
      </c>
      <c r="F288">
        <v>32</v>
      </c>
      <c r="G288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288" s="3">
        <f>Tableau2[[#This Row],[Vitesse de production réelle (unités/heure)]]/vitesseTheorique</f>
        <v>0.9</v>
      </c>
      <c r="I288" s="4">
        <f>(Tableau2[[#This Row],[Nombre total d''unités produites]]-Tableau2[[#This Row],[Nombre d''unités défectueuses]])/Tableau2[[#This Row],[Nombre total d''unités produites]]</f>
        <v>0.98388721047331318</v>
      </c>
      <c r="J288" s="4">
        <f>Tableau2[[#This Row],[Disponibilité]]*Tableau2[[#This Row],[Performance]]*Tableau2[[#This Row],[Qualité]]</f>
        <v>0.80499862675089251</v>
      </c>
    </row>
    <row r="289" spans="1:10" x14ac:dyDescent="0.3">
      <c r="A289" s="2">
        <v>45573</v>
      </c>
      <c r="B289" s="3">
        <v>2</v>
      </c>
      <c r="C289" s="3">
        <v>3</v>
      </c>
      <c r="D289">
        <v>95</v>
      </c>
      <c r="E289">
        <v>1778</v>
      </c>
      <c r="F289">
        <v>34</v>
      </c>
      <c r="G289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89" s="3">
        <f>Tableau2[[#This Row],[Vitesse de production réelle (unités/heure)]]/vitesseTheorique</f>
        <v>0.95</v>
      </c>
      <c r="I289" s="4">
        <f>(Tableau2[[#This Row],[Nombre total d''unités produites]]-Tableau2[[#This Row],[Nombre d''unités défectueuses]])/Tableau2[[#This Row],[Nombre total d''unités produites]]</f>
        <v>0.98087739032620924</v>
      </c>
      <c r="J289" s="4">
        <f>Tableau2[[#This Row],[Disponibilité]]*Tableau2[[#This Row],[Performance]]*Tableau2[[#This Row],[Qualité]]</f>
        <v>0.80476531342673074</v>
      </c>
    </row>
    <row r="290" spans="1:10" x14ac:dyDescent="0.3">
      <c r="A290" s="2">
        <v>45574</v>
      </c>
      <c r="B290" s="3">
        <v>2</v>
      </c>
      <c r="C290" s="3">
        <v>3</v>
      </c>
      <c r="D290">
        <v>93</v>
      </c>
      <c r="E290">
        <v>1826</v>
      </c>
      <c r="F290">
        <v>56</v>
      </c>
      <c r="G290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90" s="3">
        <f>Tableau2[[#This Row],[Vitesse de production réelle (unités/heure)]]/vitesseTheorique</f>
        <v>0.93</v>
      </c>
      <c r="I290" s="4">
        <f>(Tableau2[[#This Row],[Nombre total d''unités produites]]-Tableau2[[#This Row],[Nombre d''unités défectueuses]])/Tableau2[[#This Row],[Nombre total d''unités produites]]</f>
        <v>0.96933187294633083</v>
      </c>
      <c r="J290" s="4">
        <f>Tableau2[[#This Row],[Disponibilité]]*Tableau2[[#This Row],[Performance]]*Tableau2[[#This Row],[Qualité]]</f>
        <v>0.7785497361346212</v>
      </c>
    </row>
    <row r="291" spans="1:10" x14ac:dyDescent="0.3">
      <c r="A291" s="2">
        <v>45575</v>
      </c>
      <c r="B291" s="3">
        <v>2</v>
      </c>
      <c r="C291" s="3">
        <v>3</v>
      </c>
      <c r="D291">
        <v>88</v>
      </c>
      <c r="E291">
        <v>1860</v>
      </c>
      <c r="F291">
        <v>60</v>
      </c>
      <c r="G291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91" s="3">
        <f>Tableau2[[#This Row],[Vitesse de production réelle (unités/heure)]]/vitesseTheorique</f>
        <v>0.88</v>
      </c>
      <c r="I291" s="4">
        <f>(Tableau2[[#This Row],[Nombre total d''unités produites]]-Tableau2[[#This Row],[Nombre d''unités défectueuses]])/Tableau2[[#This Row],[Nombre total d''unités produites]]</f>
        <v>0.967741935483871</v>
      </c>
      <c r="J291" s="4">
        <f>Tableau2[[#This Row],[Disponibilité]]*Tableau2[[#This Row],[Performance]]*Tableau2[[#This Row],[Qualité]]</f>
        <v>0.73548387096774193</v>
      </c>
    </row>
    <row r="292" spans="1:10" x14ac:dyDescent="0.3">
      <c r="A292" s="2">
        <v>45576</v>
      </c>
      <c r="B292" s="3">
        <v>3</v>
      </c>
      <c r="C292" s="3">
        <v>2</v>
      </c>
      <c r="D292">
        <v>100</v>
      </c>
      <c r="E292">
        <v>1766</v>
      </c>
      <c r="F292">
        <v>21</v>
      </c>
      <c r="G292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292" s="3">
        <f>Tableau2[[#This Row],[Vitesse de production réelle (unités/heure)]]/vitesseTheorique</f>
        <v>1</v>
      </c>
      <c r="I292" s="4">
        <f>(Tableau2[[#This Row],[Nombre total d''unités produites]]-Tableau2[[#This Row],[Nombre d''unités défectueuses]])/Tableau2[[#This Row],[Nombre total d''unités produites]]</f>
        <v>0.98810872027180063</v>
      </c>
      <c r="J292" s="4">
        <f>Tableau2[[#This Row],[Disponibilité]]*Tableau2[[#This Row],[Performance]]*Tableau2[[#This Row],[Qualité]]</f>
        <v>0.8940031278649625</v>
      </c>
    </row>
    <row r="293" spans="1:10" x14ac:dyDescent="0.3">
      <c r="A293" s="2">
        <v>45577</v>
      </c>
      <c r="B293" s="3">
        <v>3</v>
      </c>
      <c r="C293" s="3">
        <v>1</v>
      </c>
      <c r="D293">
        <v>86</v>
      </c>
      <c r="E293">
        <v>2188</v>
      </c>
      <c r="F293">
        <v>43</v>
      </c>
      <c r="G293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293" s="3">
        <f>Tableau2[[#This Row],[Vitesse de production réelle (unités/heure)]]/vitesseTheorique</f>
        <v>0.86</v>
      </c>
      <c r="I293" s="4">
        <f>(Tableau2[[#This Row],[Nombre total d''unités produites]]-Tableau2[[#This Row],[Nombre d''unités défectueuses]])/Tableau2[[#This Row],[Nombre total d''unités produites]]</f>
        <v>0.98034734917733091</v>
      </c>
      <c r="J293" s="4">
        <f>Tableau2[[#This Row],[Disponibilité]]*Tableau2[[#This Row],[Performance]]*Tableau2[[#This Row],[Qualité]]</f>
        <v>0.80295116218333762</v>
      </c>
    </row>
    <row r="294" spans="1:10" x14ac:dyDescent="0.3">
      <c r="A294" s="2">
        <v>45578</v>
      </c>
      <c r="B294" s="3">
        <v>1</v>
      </c>
      <c r="C294" s="3">
        <v>1</v>
      </c>
      <c r="D294">
        <v>91</v>
      </c>
      <c r="E294">
        <v>2125</v>
      </c>
      <c r="F294">
        <v>58</v>
      </c>
      <c r="G294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294" s="3">
        <f>Tableau2[[#This Row],[Vitesse de production réelle (unités/heure)]]/vitesseTheorique</f>
        <v>0.91</v>
      </c>
      <c r="I294" s="4">
        <f>(Tableau2[[#This Row],[Nombre total d''unités produites]]-Tableau2[[#This Row],[Nombre d''unités défectueuses]])/Tableau2[[#This Row],[Nombre total d''unités produites]]</f>
        <v>0.9727058823529412</v>
      </c>
      <c r="J294" s="4">
        <f>Tableau2[[#This Row],[Disponibilité]]*Tableau2[[#This Row],[Performance]]*Tableau2[[#This Row],[Qualité]]</f>
        <v>0.84667703324808186</v>
      </c>
    </row>
    <row r="295" spans="1:10" x14ac:dyDescent="0.3">
      <c r="A295" s="2">
        <v>45579</v>
      </c>
      <c r="B295" s="3">
        <v>3</v>
      </c>
      <c r="C295" s="3">
        <v>1</v>
      </c>
      <c r="D295">
        <v>81</v>
      </c>
      <c r="E295">
        <v>1999</v>
      </c>
      <c r="F295">
        <v>22</v>
      </c>
      <c r="G295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295" s="3">
        <f>Tableau2[[#This Row],[Vitesse de production réelle (unités/heure)]]/vitesseTheorique</f>
        <v>0.81</v>
      </c>
      <c r="I295" s="4">
        <f>(Tableau2[[#This Row],[Nombre total d''unités produites]]-Tableau2[[#This Row],[Nombre d''unités défectueuses]])/Tableau2[[#This Row],[Nombre total d''unités produites]]</f>
        <v>0.98899449724862432</v>
      </c>
      <c r="J295" s="4">
        <f>Tableau2[[#This Row],[Disponibilité]]*Tableau2[[#This Row],[Performance]]*Tableau2[[#This Row],[Qualité]]</f>
        <v>0.76293861216322456</v>
      </c>
    </row>
    <row r="296" spans="1:10" x14ac:dyDescent="0.3">
      <c r="A296" s="2">
        <v>45580</v>
      </c>
      <c r="B296" s="3">
        <v>1</v>
      </c>
      <c r="C296" s="3">
        <v>2</v>
      </c>
      <c r="D296">
        <v>96</v>
      </c>
      <c r="E296">
        <v>1779</v>
      </c>
      <c r="F296">
        <v>35</v>
      </c>
      <c r="G296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296" s="3">
        <f>Tableau2[[#This Row],[Vitesse de production réelle (unités/heure)]]/vitesseTheorique</f>
        <v>0.96</v>
      </c>
      <c r="I296" s="4">
        <f>(Tableau2[[#This Row],[Nombre total d''unités produites]]-Tableau2[[#This Row],[Nombre d''unités défectueuses]])/Tableau2[[#This Row],[Nombre total d''unités produites]]</f>
        <v>0.98032602585722317</v>
      </c>
      <c r="J296" s="4">
        <f>Tableau2[[#This Row],[Disponibilité]]*Tableau2[[#This Row],[Performance]]*Tableau2[[#This Row],[Qualité]]</f>
        <v>0.85927707309920076</v>
      </c>
    </row>
    <row r="297" spans="1:10" x14ac:dyDescent="0.3">
      <c r="A297" s="2">
        <v>45581</v>
      </c>
      <c r="B297" s="3">
        <v>2</v>
      </c>
      <c r="C297" s="3">
        <v>3</v>
      </c>
      <c r="D297">
        <v>90</v>
      </c>
      <c r="E297">
        <v>2219</v>
      </c>
      <c r="F297">
        <v>49</v>
      </c>
      <c r="G297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297" s="3">
        <f>Tableau2[[#This Row],[Vitesse de production réelle (unités/heure)]]/vitesseTheorique</f>
        <v>0.9</v>
      </c>
      <c r="I297" s="4">
        <f>(Tableau2[[#This Row],[Nombre total d''unités produites]]-Tableau2[[#This Row],[Nombre d''unités défectueuses]])/Tableau2[[#This Row],[Nombre total d''unités produites]]</f>
        <v>0.97791798107255523</v>
      </c>
      <c r="J297" s="4">
        <f>Tableau2[[#This Row],[Disponibilité]]*Tableau2[[#This Row],[Performance]]*Tableau2[[#This Row],[Qualité]]</f>
        <v>0.76010897619730433</v>
      </c>
    </row>
    <row r="298" spans="1:10" x14ac:dyDescent="0.3">
      <c r="A298" s="2">
        <v>45582</v>
      </c>
      <c r="B298" s="3">
        <v>2</v>
      </c>
      <c r="C298" s="3">
        <v>2</v>
      </c>
      <c r="D298">
        <v>85</v>
      </c>
      <c r="E298">
        <v>2241</v>
      </c>
      <c r="F298">
        <v>40</v>
      </c>
      <c r="G298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298" s="3">
        <f>Tableau2[[#This Row],[Vitesse de production réelle (unités/heure)]]/vitesseTheorique</f>
        <v>0.85</v>
      </c>
      <c r="I298" s="4">
        <f>(Tableau2[[#This Row],[Nombre total d''unités produites]]-Tableau2[[#This Row],[Nombre d''unités défectueuses]])/Tableau2[[#This Row],[Nombre total d''unités produites]]</f>
        <v>0.98215082552431954</v>
      </c>
      <c r="J298" s="4">
        <f>Tableau2[[#This Row],[Disponibilité]]*Tableau2[[#This Row],[Performance]]*Tableau2[[#This Row],[Qualité]]</f>
        <v>0.75893472881424695</v>
      </c>
    </row>
    <row r="299" spans="1:10" x14ac:dyDescent="0.3">
      <c r="A299" s="2">
        <v>45583</v>
      </c>
      <c r="B299" s="3">
        <v>1</v>
      </c>
      <c r="C299" s="3">
        <v>3</v>
      </c>
      <c r="D299">
        <v>94</v>
      </c>
      <c r="E299">
        <v>2248</v>
      </c>
      <c r="F299">
        <v>27</v>
      </c>
      <c r="G299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299" s="3">
        <f>Tableau2[[#This Row],[Vitesse de production réelle (unités/heure)]]/vitesseTheorique</f>
        <v>0.94</v>
      </c>
      <c r="I299" s="4">
        <f>(Tableau2[[#This Row],[Nombre total d''unités produites]]-Tableau2[[#This Row],[Nombre d''unités défectueuses]])/Tableau2[[#This Row],[Nombre total d''unités produites]]</f>
        <v>0.98798932384341642</v>
      </c>
      <c r="J299" s="4">
        <f>Tableau2[[#This Row],[Disponibilité]]*Tableau2[[#This Row],[Performance]]*Tableau2[[#This Row],[Qualité]]</f>
        <v>0.80757388209809688</v>
      </c>
    </row>
    <row r="300" spans="1:10" x14ac:dyDescent="0.3">
      <c r="A300" s="2">
        <v>45584</v>
      </c>
      <c r="B300" s="3">
        <v>3</v>
      </c>
      <c r="C300" s="3">
        <v>1</v>
      </c>
      <c r="D300">
        <v>93</v>
      </c>
      <c r="E300">
        <v>1908</v>
      </c>
      <c r="F300">
        <v>48</v>
      </c>
      <c r="G300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00" s="3">
        <f>Tableau2[[#This Row],[Vitesse de production réelle (unités/heure)]]/vitesseTheorique</f>
        <v>0.93</v>
      </c>
      <c r="I300" s="4">
        <f>(Tableau2[[#This Row],[Nombre total d''unités produites]]-Tableau2[[#This Row],[Nombre d''unités défectueuses]])/Tableau2[[#This Row],[Nombre total d''unités produites]]</f>
        <v>0.97484276729559749</v>
      </c>
      <c r="J300" s="4">
        <f>Tableau2[[#This Row],[Disponibilité]]*Tableau2[[#This Row],[Performance]]*Tableau2[[#This Row],[Qualité]]</f>
        <v>0.86343216531895772</v>
      </c>
    </row>
    <row r="301" spans="1:10" x14ac:dyDescent="0.3">
      <c r="A301" s="2">
        <v>45585</v>
      </c>
      <c r="B301" s="3">
        <v>2</v>
      </c>
      <c r="C301" s="3">
        <v>2</v>
      </c>
      <c r="D301">
        <v>81</v>
      </c>
      <c r="E301">
        <v>1758</v>
      </c>
      <c r="F301">
        <v>45</v>
      </c>
      <c r="G301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301" s="3">
        <f>Tableau2[[#This Row],[Vitesse de production réelle (unités/heure)]]/vitesseTheorique</f>
        <v>0.81</v>
      </c>
      <c r="I301" s="4">
        <f>(Tableau2[[#This Row],[Nombre total d''unités produites]]-Tableau2[[#This Row],[Nombre d''unités défectueuses]])/Tableau2[[#This Row],[Nombre total d''unités produites]]</f>
        <v>0.97440273037542657</v>
      </c>
      <c r="J301" s="4">
        <f>Tableau2[[#This Row],[Disponibilité]]*Tableau2[[#This Row],[Performance]]*Tableau2[[#This Row],[Qualité]]</f>
        <v>0.71751473782190511</v>
      </c>
    </row>
    <row r="302" spans="1:10" x14ac:dyDescent="0.3">
      <c r="A302" s="2">
        <v>45586</v>
      </c>
      <c r="B302" s="3">
        <v>3</v>
      </c>
      <c r="C302" s="3">
        <v>2</v>
      </c>
      <c r="D302">
        <v>90</v>
      </c>
      <c r="E302">
        <v>2252</v>
      </c>
      <c r="F302">
        <v>41</v>
      </c>
      <c r="G302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302" s="3">
        <f>Tableau2[[#This Row],[Vitesse de production réelle (unités/heure)]]/vitesseTheorique</f>
        <v>0.9</v>
      </c>
      <c r="I302" s="4">
        <f>(Tableau2[[#This Row],[Nombre total d''unités produites]]-Tableau2[[#This Row],[Nombre d''unités défectueuses]])/Tableau2[[#This Row],[Nombre total d''unités produites]]</f>
        <v>0.98179396092362348</v>
      </c>
      <c r="J302" s="4">
        <f>Tableau2[[#This Row],[Disponibilité]]*Tableau2[[#This Row],[Performance]]*Tableau2[[#This Row],[Qualité]]</f>
        <v>0.79946079675209336</v>
      </c>
    </row>
    <row r="303" spans="1:10" x14ac:dyDescent="0.3">
      <c r="A303" s="2">
        <v>45587</v>
      </c>
      <c r="B303" s="3">
        <v>1</v>
      </c>
      <c r="C303" s="3">
        <v>3</v>
      </c>
      <c r="D303">
        <v>97</v>
      </c>
      <c r="E303">
        <v>1795</v>
      </c>
      <c r="F303">
        <v>60</v>
      </c>
      <c r="G303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303" s="3">
        <f>Tableau2[[#This Row],[Vitesse de production réelle (unités/heure)]]/vitesseTheorique</f>
        <v>0.97</v>
      </c>
      <c r="I303" s="4">
        <f>(Tableau2[[#This Row],[Nombre total d''unités produites]]-Tableau2[[#This Row],[Nombre d''unités défectueuses]])/Tableau2[[#This Row],[Nombre total d''unités produites]]</f>
        <v>0.96657381615598881</v>
      </c>
      <c r="J303" s="4">
        <f>Tableau2[[#This Row],[Disponibilité]]*Tableau2[[#This Row],[Performance]]*Tableau2[[#This Row],[Qualité]]</f>
        <v>0.81528400145331226</v>
      </c>
    </row>
    <row r="304" spans="1:10" x14ac:dyDescent="0.3">
      <c r="A304" s="2">
        <v>45588</v>
      </c>
      <c r="B304" s="3">
        <v>3</v>
      </c>
      <c r="C304" s="3">
        <v>1</v>
      </c>
      <c r="D304">
        <v>97</v>
      </c>
      <c r="E304">
        <v>2223</v>
      </c>
      <c r="F304">
        <v>24</v>
      </c>
      <c r="G304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04" s="3">
        <f>Tableau2[[#This Row],[Vitesse de production réelle (unités/heure)]]/vitesseTheorique</f>
        <v>0.97</v>
      </c>
      <c r="I304" s="4">
        <f>(Tableau2[[#This Row],[Nombre total d''unités produites]]-Tableau2[[#This Row],[Nombre d''unités défectueuses]])/Tableau2[[#This Row],[Nombre total d''unités produites]]</f>
        <v>0.9892037786774629</v>
      </c>
      <c r="J304" s="4">
        <f>Tableau2[[#This Row],[Disponibilité]]*Tableau2[[#This Row],[Performance]]*Tableau2[[#This Row],[Qualité]]</f>
        <v>0.91383587173060854</v>
      </c>
    </row>
    <row r="305" spans="1:10" x14ac:dyDescent="0.3">
      <c r="A305" s="2">
        <v>45589</v>
      </c>
      <c r="B305" s="3">
        <v>3</v>
      </c>
      <c r="C305" s="3">
        <v>2</v>
      </c>
      <c r="D305">
        <v>85</v>
      </c>
      <c r="E305">
        <v>1841</v>
      </c>
      <c r="F305">
        <v>21</v>
      </c>
      <c r="G305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305" s="3">
        <f>Tableau2[[#This Row],[Vitesse de production réelle (unités/heure)]]/vitesseTheorique</f>
        <v>0.85</v>
      </c>
      <c r="I305" s="4">
        <f>(Tableau2[[#This Row],[Nombre total d''unités produites]]-Tableau2[[#This Row],[Nombre d''unités défectueuses]])/Tableau2[[#This Row],[Nombre total d''unités produites]]</f>
        <v>0.98859315589353614</v>
      </c>
      <c r="J305" s="4">
        <f>Tableau2[[#This Row],[Disponibilité]]*Tableau2[[#This Row],[Performance]]*Tableau2[[#This Row],[Qualité]]</f>
        <v>0.76027521274669563</v>
      </c>
    </row>
    <row r="306" spans="1:10" x14ac:dyDescent="0.3">
      <c r="A306" s="2">
        <v>45590</v>
      </c>
      <c r="B306" s="3">
        <v>3</v>
      </c>
      <c r="C306" s="3">
        <v>2</v>
      </c>
      <c r="D306">
        <v>86</v>
      </c>
      <c r="E306">
        <v>2099</v>
      </c>
      <c r="F306">
        <v>26</v>
      </c>
      <c r="G306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306" s="3">
        <f>Tableau2[[#This Row],[Vitesse de production réelle (unités/heure)]]/vitesseTheorique</f>
        <v>0.86</v>
      </c>
      <c r="I306" s="4">
        <f>(Tableau2[[#This Row],[Nombre total d''unités produites]]-Tableau2[[#This Row],[Nombre d''unités défectueuses]])/Tableau2[[#This Row],[Nombre total d''unités produites]]</f>
        <v>0.98761314911862796</v>
      </c>
      <c r="J306" s="4">
        <f>Tableau2[[#This Row],[Disponibilité]]*Tableau2[[#This Row],[Performance]]*Tableau2[[#This Row],[Qualité]]</f>
        <v>0.76845708840944671</v>
      </c>
    </row>
    <row r="307" spans="1:10" x14ac:dyDescent="0.3">
      <c r="A307" s="2">
        <v>45591</v>
      </c>
      <c r="B307" s="3">
        <v>2</v>
      </c>
      <c r="C307" s="3">
        <v>3</v>
      </c>
      <c r="D307">
        <v>83</v>
      </c>
      <c r="E307">
        <v>1914</v>
      </c>
      <c r="F307">
        <v>56</v>
      </c>
      <c r="G307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307" s="3">
        <f>Tableau2[[#This Row],[Vitesse de production réelle (unités/heure)]]/vitesseTheorique</f>
        <v>0.83</v>
      </c>
      <c r="I307" s="4">
        <f>(Tableau2[[#This Row],[Nombre total d''unités produites]]-Tableau2[[#This Row],[Nombre d''unités défectueuses]])/Tableau2[[#This Row],[Nombre total d''unités produites]]</f>
        <v>0.97074190177638453</v>
      </c>
      <c r="J307" s="4">
        <f>Tableau2[[#This Row],[Disponibilité]]*Tableau2[[#This Row],[Performance]]*Tableau2[[#This Row],[Qualité]]</f>
        <v>0.69584544504607193</v>
      </c>
    </row>
    <row r="308" spans="1:10" x14ac:dyDescent="0.3">
      <c r="A308" s="2">
        <v>45592</v>
      </c>
      <c r="B308" s="3">
        <v>2</v>
      </c>
      <c r="C308" s="3">
        <v>1</v>
      </c>
      <c r="D308">
        <v>97</v>
      </c>
      <c r="E308">
        <v>2206</v>
      </c>
      <c r="F308">
        <v>58</v>
      </c>
      <c r="G308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308" s="3">
        <f>Tableau2[[#This Row],[Vitesse de production réelle (unités/heure)]]/vitesseTheorique</f>
        <v>0.97</v>
      </c>
      <c r="I308" s="4">
        <f>(Tableau2[[#This Row],[Nombre total d''unités produites]]-Tableau2[[#This Row],[Nombre d''unités défectueuses]])/Tableau2[[#This Row],[Nombre total d''unités produites]]</f>
        <v>0.97370806890299189</v>
      </c>
      <c r="J308" s="4">
        <f>Tableau2[[#This Row],[Disponibilité]]*Tableau2[[#This Row],[Performance]]*Tableau2[[#This Row],[Qualité]]</f>
        <v>0.90156515288881567</v>
      </c>
    </row>
    <row r="309" spans="1:10" x14ac:dyDescent="0.3">
      <c r="A309" s="2">
        <v>45593</v>
      </c>
      <c r="B309" s="3">
        <v>1</v>
      </c>
      <c r="C309" s="3">
        <v>3</v>
      </c>
      <c r="D309">
        <v>99</v>
      </c>
      <c r="E309">
        <v>2040</v>
      </c>
      <c r="F309">
        <v>51</v>
      </c>
      <c r="G309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309" s="3">
        <f>Tableau2[[#This Row],[Vitesse de production réelle (unités/heure)]]/vitesseTheorique</f>
        <v>0.99</v>
      </c>
      <c r="I309" s="4">
        <f>(Tableau2[[#This Row],[Nombre total d''unités produites]]-Tableau2[[#This Row],[Nombre d''unités défectueuses]])/Tableau2[[#This Row],[Nombre total d''unités produites]]</f>
        <v>0.97499999999999998</v>
      </c>
      <c r="J309" s="4">
        <f>Tableau2[[#This Row],[Disponibilité]]*Tableau2[[#This Row],[Performance]]*Tableau2[[#This Row],[Qualité]]</f>
        <v>0.83934782608695646</v>
      </c>
    </row>
    <row r="310" spans="1:10" x14ac:dyDescent="0.3">
      <c r="A310" s="2">
        <v>45594</v>
      </c>
      <c r="B310" s="3">
        <v>3</v>
      </c>
      <c r="C310" s="3">
        <v>3</v>
      </c>
      <c r="D310">
        <v>100</v>
      </c>
      <c r="E310">
        <v>2021</v>
      </c>
      <c r="F310">
        <v>25</v>
      </c>
      <c r="G310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310" s="3">
        <f>Tableau2[[#This Row],[Vitesse de production réelle (unités/heure)]]/vitesseTheorique</f>
        <v>1</v>
      </c>
      <c r="I310" s="4">
        <f>(Tableau2[[#This Row],[Nombre total d''unités produites]]-Tableau2[[#This Row],[Nombre d''unités défectueuses]])/Tableau2[[#This Row],[Nombre total d''unités produites]]</f>
        <v>0.98762988619495296</v>
      </c>
      <c r="J310" s="4">
        <f>Tableau2[[#This Row],[Disponibilité]]*Tableau2[[#This Row],[Performance]]*Tableau2[[#This Row],[Qualité]]</f>
        <v>0.84653990245281674</v>
      </c>
    </row>
    <row r="311" spans="1:10" x14ac:dyDescent="0.3">
      <c r="A311" s="2">
        <v>45595</v>
      </c>
      <c r="B311" s="3">
        <v>2</v>
      </c>
      <c r="C311" s="3">
        <v>3</v>
      </c>
      <c r="D311">
        <v>97</v>
      </c>
      <c r="E311">
        <v>1738</v>
      </c>
      <c r="F311">
        <v>22</v>
      </c>
      <c r="G311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311" s="3">
        <f>Tableau2[[#This Row],[Vitesse de production réelle (unités/heure)]]/vitesseTheorique</f>
        <v>0.97</v>
      </c>
      <c r="I311" s="4">
        <f>(Tableau2[[#This Row],[Nombre total d''unités produites]]-Tableau2[[#This Row],[Nombre d''unités défectueuses]])/Tableau2[[#This Row],[Nombre total d''unités produites]]</f>
        <v>0.98734177215189878</v>
      </c>
      <c r="J311" s="4">
        <f>Tableau2[[#This Row],[Disponibilité]]*Tableau2[[#This Row],[Performance]]*Tableau2[[#This Row],[Qualité]]</f>
        <v>0.82712313003452254</v>
      </c>
    </row>
    <row r="312" spans="1:10" x14ac:dyDescent="0.3">
      <c r="A312" s="2">
        <v>45596</v>
      </c>
      <c r="B312" s="3">
        <v>3</v>
      </c>
      <c r="C312" s="3">
        <v>1</v>
      </c>
      <c r="D312">
        <v>92</v>
      </c>
      <c r="E312">
        <v>1733</v>
      </c>
      <c r="F312">
        <v>23</v>
      </c>
      <c r="G312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12" s="3">
        <f>Tableau2[[#This Row],[Vitesse de production réelle (unités/heure)]]/vitesseTheorique</f>
        <v>0.92</v>
      </c>
      <c r="I312" s="4">
        <f>(Tableau2[[#This Row],[Nombre total d''unités produites]]-Tableau2[[#This Row],[Nombre d''unités défectueuses]])/Tableau2[[#This Row],[Nombre total d''unités produites]]</f>
        <v>0.98672821696480095</v>
      </c>
      <c r="J312" s="4">
        <f>Tableau2[[#This Row],[Disponibilité]]*Tableau2[[#This Row],[Performance]]*Tableau2[[#This Row],[Qualité]]</f>
        <v>0.86456186629296849</v>
      </c>
    </row>
    <row r="313" spans="1:10" x14ac:dyDescent="0.3">
      <c r="A313" s="2">
        <v>45597</v>
      </c>
      <c r="B313" s="3">
        <v>3</v>
      </c>
      <c r="C313" s="3">
        <v>1</v>
      </c>
      <c r="D313">
        <v>89</v>
      </c>
      <c r="E313">
        <v>2085</v>
      </c>
      <c r="F313">
        <v>47</v>
      </c>
      <c r="G313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13" s="3">
        <f>Tableau2[[#This Row],[Vitesse de production réelle (unités/heure)]]/vitesseTheorique</f>
        <v>0.89</v>
      </c>
      <c r="I313" s="4">
        <f>(Tableau2[[#This Row],[Nombre total d''unités produites]]-Tableau2[[#This Row],[Nombre d''unités défectueuses]])/Tableau2[[#This Row],[Nombre total d''unités produites]]</f>
        <v>0.97745803357314154</v>
      </c>
      <c r="J313" s="4">
        <f>Tableau2[[#This Row],[Disponibilité]]*Tableau2[[#This Row],[Performance]]*Tableau2[[#This Row],[Qualité]]</f>
        <v>0.8285120475048533</v>
      </c>
    </row>
    <row r="314" spans="1:10" x14ac:dyDescent="0.3">
      <c r="A314" s="2">
        <v>45598</v>
      </c>
      <c r="B314" s="3">
        <v>2</v>
      </c>
      <c r="C314" s="3">
        <v>2</v>
      </c>
      <c r="D314">
        <v>97</v>
      </c>
      <c r="E314">
        <v>2095</v>
      </c>
      <c r="F314">
        <v>55</v>
      </c>
      <c r="G314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314" s="3">
        <f>Tableau2[[#This Row],[Vitesse de production réelle (unités/heure)]]/vitesseTheorique</f>
        <v>0.97</v>
      </c>
      <c r="I314" s="4">
        <f>(Tableau2[[#This Row],[Nombre total d''unités produites]]-Tableau2[[#This Row],[Nombre d''unités défectueuses]])/Tableau2[[#This Row],[Nombre total d''unités produites]]</f>
        <v>0.97374701670644392</v>
      </c>
      <c r="J314" s="4">
        <f>Tableau2[[#This Row],[Disponibilité]]*Tableau2[[#This Row],[Performance]]*Tableau2[[#This Row],[Qualité]]</f>
        <v>0.85866782382295503</v>
      </c>
    </row>
    <row r="315" spans="1:10" x14ac:dyDescent="0.3">
      <c r="A315" s="2">
        <v>45599</v>
      </c>
      <c r="B315" s="3">
        <v>3</v>
      </c>
      <c r="C315" s="3">
        <v>3</v>
      </c>
      <c r="D315">
        <v>86</v>
      </c>
      <c r="E315">
        <v>1856</v>
      </c>
      <c r="F315">
        <v>48</v>
      </c>
      <c r="G315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315" s="3">
        <f>Tableau2[[#This Row],[Vitesse de production réelle (unités/heure)]]/vitesseTheorique</f>
        <v>0.86</v>
      </c>
      <c r="I315" s="4">
        <f>(Tableau2[[#This Row],[Nombre total d''unités produites]]-Tableau2[[#This Row],[Nombre d''unités défectueuses]])/Tableau2[[#This Row],[Nombre total d''unités produites]]</f>
        <v>0.97413793103448276</v>
      </c>
      <c r="J315" s="4">
        <f>Tableau2[[#This Row],[Disponibilité]]*Tableau2[[#This Row],[Performance]]*Tableau2[[#This Row],[Qualité]]</f>
        <v>0.71807881773399007</v>
      </c>
    </row>
    <row r="316" spans="1:10" x14ac:dyDescent="0.3">
      <c r="A316" s="2">
        <v>45600</v>
      </c>
      <c r="B316" s="3">
        <v>3</v>
      </c>
      <c r="C316" s="3">
        <v>1</v>
      </c>
      <c r="D316">
        <v>98</v>
      </c>
      <c r="E316">
        <v>2137</v>
      </c>
      <c r="F316">
        <v>29</v>
      </c>
      <c r="G316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16" s="3">
        <f>Tableau2[[#This Row],[Vitesse de production réelle (unités/heure)]]/vitesseTheorique</f>
        <v>0.98</v>
      </c>
      <c r="I316" s="4">
        <f>(Tableau2[[#This Row],[Nombre total d''unités produites]]-Tableau2[[#This Row],[Nombre d''unités défectueuses]])/Tableau2[[#This Row],[Nombre total d''unités produites]]</f>
        <v>0.98642957416939636</v>
      </c>
      <c r="J316" s="4">
        <f>Tableau2[[#This Row],[Disponibilité]]*Tableau2[[#This Row],[Performance]]*Tableau2[[#This Row],[Qualité]]</f>
        <v>0.9206676025581032</v>
      </c>
    </row>
    <row r="317" spans="1:10" x14ac:dyDescent="0.3">
      <c r="A317" s="2">
        <v>45601</v>
      </c>
      <c r="B317" s="3">
        <v>1</v>
      </c>
      <c r="C317" s="3">
        <v>2</v>
      </c>
      <c r="D317">
        <v>100</v>
      </c>
      <c r="E317">
        <v>1946</v>
      </c>
      <c r="F317">
        <v>52</v>
      </c>
      <c r="G317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317" s="3">
        <f>Tableau2[[#This Row],[Vitesse de production réelle (unités/heure)]]/vitesseTheorique</f>
        <v>1</v>
      </c>
      <c r="I317" s="4">
        <f>(Tableau2[[#This Row],[Nombre total d''unités produites]]-Tableau2[[#This Row],[Nombre d''unités défectueuses]])/Tableau2[[#This Row],[Nombre total d''unités produites]]</f>
        <v>0.97327852004110993</v>
      </c>
      <c r="J317" s="4">
        <f>Tableau2[[#This Row],[Disponibilité]]*Tableau2[[#This Row],[Performance]]*Tableau2[[#This Row],[Qualité]]</f>
        <v>0.88864560525492642</v>
      </c>
    </row>
    <row r="318" spans="1:10" x14ac:dyDescent="0.3">
      <c r="A318" s="2">
        <v>45602</v>
      </c>
      <c r="B318" s="3">
        <v>1</v>
      </c>
      <c r="C318" s="3">
        <v>3</v>
      </c>
      <c r="D318">
        <v>97</v>
      </c>
      <c r="E318">
        <v>2016</v>
      </c>
      <c r="F318">
        <v>49</v>
      </c>
      <c r="G318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318" s="3">
        <f>Tableau2[[#This Row],[Vitesse de production réelle (unités/heure)]]/vitesseTheorique</f>
        <v>0.97</v>
      </c>
      <c r="I318" s="4">
        <f>(Tableau2[[#This Row],[Nombre total d''unités produites]]-Tableau2[[#This Row],[Nombre d''unités défectueuses]])/Tableau2[[#This Row],[Nombre total d''unités produites]]</f>
        <v>0.97569444444444442</v>
      </c>
      <c r="J318" s="4">
        <f>Tableau2[[#This Row],[Disponibilité]]*Tableau2[[#This Row],[Performance]]*Tableau2[[#This Row],[Qualité]]</f>
        <v>0.8229770531400965</v>
      </c>
    </row>
    <row r="319" spans="1:10" x14ac:dyDescent="0.3">
      <c r="A319" s="2">
        <v>45603</v>
      </c>
      <c r="B319" s="3">
        <v>1</v>
      </c>
      <c r="C319" s="3">
        <v>2</v>
      </c>
      <c r="D319">
        <v>96</v>
      </c>
      <c r="E319">
        <v>2009</v>
      </c>
      <c r="F319">
        <v>45</v>
      </c>
      <c r="G319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319" s="3">
        <f>Tableau2[[#This Row],[Vitesse de production réelle (unités/heure)]]/vitesseTheorique</f>
        <v>0.96</v>
      </c>
      <c r="I319" s="4">
        <f>(Tableau2[[#This Row],[Nombre total d''unités produites]]-Tableau2[[#This Row],[Nombre d''unités défectueuses]])/Tableau2[[#This Row],[Nombre total d''unités produites]]</f>
        <v>0.9776007964161274</v>
      </c>
      <c r="J319" s="4">
        <f>Tableau2[[#This Row],[Disponibilité]]*Tableau2[[#This Row],[Performance]]*Tableau2[[#This Row],[Qualité]]</f>
        <v>0.85688835024996202</v>
      </c>
    </row>
    <row r="320" spans="1:10" x14ac:dyDescent="0.3">
      <c r="A320" s="2">
        <v>45604</v>
      </c>
      <c r="B320" s="3">
        <v>1</v>
      </c>
      <c r="C320" s="3">
        <v>2</v>
      </c>
      <c r="D320">
        <v>92</v>
      </c>
      <c r="E320">
        <v>1711</v>
      </c>
      <c r="F320">
        <v>44</v>
      </c>
      <c r="G320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320" s="3">
        <f>Tableau2[[#This Row],[Vitesse de production réelle (unités/heure)]]/vitesseTheorique</f>
        <v>0.92</v>
      </c>
      <c r="I320" s="4">
        <f>(Tableau2[[#This Row],[Nombre total d''unités produites]]-Tableau2[[#This Row],[Nombre d''unités défectueuses]])/Tableau2[[#This Row],[Nombre total d''unités produites]]</f>
        <v>0.97428404441846872</v>
      </c>
      <c r="J320" s="4">
        <f>Tableau2[[#This Row],[Disponibilité]]*Tableau2[[#This Row],[Performance]]*Tableau2[[#This Row],[Qualité]]</f>
        <v>0.81839859731151365</v>
      </c>
    </row>
    <row r="321" spans="1:10" x14ac:dyDescent="0.3">
      <c r="A321" s="2">
        <v>45605</v>
      </c>
      <c r="B321" s="3">
        <v>3</v>
      </c>
      <c r="C321" s="3">
        <v>1</v>
      </c>
      <c r="D321">
        <v>96</v>
      </c>
      <c r="E321">
        <v>2183</v>
      </c>
      <c r="F321">
        <v>38</v>
      </c>
      <c r="G321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21" s="3">
        <f>Tableau2[[#This Row],[Vitesse de production réelle (unités/heure)]]/vitesseTheorique</f>
        <v>0.96</v>
      </c>
      <c r="I321" s="4">
        <f>(Tableau2[[#This Row],[Nombre total d''unités produites]]-Tableau2[[#This Row],[Nombre d''unités défectueuses]])/Tableau2[[#This Row],[Nombre total d''unités produites]]</f>
        <v>0.98259276225377923</v>
      </c>
      <c r="J321" s="4">
        <f>Tableau2[[#This Row],[Disponibilité]]*Tableau2[[#This Row],[Performance]]*Tableau2[[#This Row],[Qualité]]</f>
        <v>0.8983705254891694</v>
      </c>
    </row>
    <row r="322" spans="1:10" x14ac:dyDescent="0.3">
      <c r="A322" s="2">
        <v>45606</v>
      </c>
      <c r="B322" s="3">
        <v>1</v>
      </c>
      <c r="C322" s="3">
        <v>2</v>
      </c>
      <c r="D322">
        <v>84</v>
      </c>
      <c r="E322">
        <v>1752</v>
      </c>
      <c r="F322">
        <v>30</v>
      </c>
      <c r="G322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322" s="3">
        <f>Tableau2[[#This Row],[Vitesse de production réelle (unités/heure)]]/vitesseTheorique</f>
        <v>0.84</v>
      </c>
      <c r="I322" s="4">
        <f>(Tableau2[[#This Row],[Nombre total d''unités produites]]-Tableau2[[#This Row],[Nombre d''unités défectueuses]])/Tableau2[[#This Row],[Nombre total d''unités produites]]</f>
        <v>0.98287671232876717</v>
      </c>
      <c r="J322" s="4">
        <f>Tableau2[[#This Row],[Disponibilité]]*Tableau2[[#This Row],[Performance]]*Tableau2[[#This Row],[Qualité]]</f>
        <v>0.75382370458606307</v>
      </c>
    </row>
    <row r="323" spans="1:10" x14ac:dyDescent="0.3">
      <c r="A323" s="2">
        <v>45607</v>
      </c>
      <c r="B323" s="3">
        <v>2</v>
      </c>
      <c r="C323" s="3">
        <v>1</v>
      </c>
      <c r="D323">
        <v>89</v>
      </c>
      <c r="E323">
        <v>2098</v>
      </c>
      <c r="F323">
        <v>53</v>
      </c>
      <c r="G323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323" s="3">
        <f>Tableau2[[#This Row],[Vitesse de production réelle (unités/heure)]]/vitesseTheorique</f>
        <v>0.89</v>
      </c>
      <c r="I323" s="4">
        <f>(Tableau2[[#This Row],[Nombre total d''unités produites]]-Tableau2[[#This Row],[Nombre d''unités défectueuses]])/Tableau2[[#This Row],[Nombre total d''unités produites]]</f>
        <v>0.97473784556720688</v>
      </c>
      <c r="J323" s="4">
        <f>Tableau2[[#This Row],[Disponibilité]]*Tableau2[[#This Row],[Performance]]*Tableau2[[#This Row],[Qualité]]</f>
        <v>0.8280841060750499</v>
      </c>
    </row>
    <row r="324" spans="1:10" x14ac:dyDescent="0.3">
      <c r="A324" s="2">
        <v>45608</v>
      </c>
      <c r="B324" s="3">
        <v>3</v>
      </c>
      <c r="C324" s="3">
        <v>1</v>
      </c>
      <c r="D324">
        <v>86</v>
      </c>
      <c r="E324">
        <v>2099</v>
      </c>
      <c r="F324">
        <v>39</v>
      </c>
      <c r="G324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24" s="3">
        <f>Tableau2[[#This Row],[Vitesse de production réelle (unités/heure)]]/vitesseTheorique</f>
        <v>0.86</v>
      </c>
      <c r="I324" s="4">
        <f>(Tableau2[[#This Row],[Nombre total d''unités produites]]-Tableau2[[#This Row],[Nombre d''unités défectueuses]])/Tableau2[[#This Row],[Nombre total d''unités produites]]</f>
        <v>0.98141972367794184</v>
      </c>
      <c r="J324" s="4">
        <f>Tableau2[[#This Row],[Disponibilité]]*Tableau2[[#This Row],[Performance]]*Tableau2[[#This Row],[Qualité]]</f>
        <v>0.80382948796479048</v>
      </c>
    </row>
    <row r="325" spans="1:10" x14ac:dyDescent="0.3">
      <c r="A325" s="2">
        <v>45609</v>
      </c>
      <c r="B325" s="3">
        <v>3</v>
      </c>
      <c r="C325" s="3">
        <v>3</v>
      </c>
      <c r="D325">
        <v>83</v>
      </c>
      <c r="E325">
        <v>1854</v>
      </c>
      <c r="F325">
        <v>46</v>
      </c>
      <c r="G325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325" s="3">
        <f>Tableau2[[#This Row],[Vitesse de production réelle (unités/heure)]]/vitesseTheorique</f>
        <v>0.83</v>
      </c>
      <c r="I325" s="4">
        <f>(Tableau2[[#This Row],[Nombre total d''unités produites]]-Tableau2[[#This Row],[Nombre d''unités défectueuses]])/Tableau2[[#This Row],[Nombre total d''unités produites]]</f>
        <v>0.97518878101402373</v>
      </c>
      <c r="J325" s="4">
        <f>Tableau2[[#This Row],[Disponibilité]]*Tableau2[[#This Row],[Performance]]*Tableau2[[#This Row],[Qualité]]</f>
        <v>0.69377716134997691</v>
      </c>
    </row>
    <row r="326" spans="1:10" x14ac:dyDescent="0.3">
      <c r="A326" s="2">
        <v>45610</v>
      </c>
      <c r="B326" s="3">
        <v>1</v>
      </c>
      <c r="C326" s="3">
        <v>3</v>
      </c>
      <c r="D326">
        <v>94</v>
      </c>
      <c r="E326">
        <v>1963</v>
      </c>
      <c r="F326">
        <v>43</v>
      </c>
      <c r="G326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326" s="3">
        <f>Tableau2[[#This Row],[Vitesse de production réelle (unités/heure)]]/vitesseTheorique</f>
        <v>0.94</v>
      </c>
      <c r="I326" s="4">
        <f>(Tableau2[[#This Row],[Nombre total d''unités produites]]-Tableau2[[#This Row],[Nombre d''unités défectueuses]])/Tableau2[[#This Row],[Nombre total d''unités produites]]</f>
        <v>0.97809475292919001</v>
      </c>
      <c r="J326" s="4">
        <f>Tableau2[[#This Row],[Disponibilité]]*Tableau2[[#This Row],[Performance]]*Tableau2[[#This Row],[Qualité]]</f>
        <v>0.79948614587255529</v>
      </c>
    </row>
    <row r="327" spans="1:10" x14ac:dyDescent="0.3">
      <c r="A327" s="2">
        <v>45611</v>
      </c>
      <c r="B327" s="3">
        <v>2</v>
      </c>
      <c r="C327" s="3">
        <v>1</v>
      </c>
      <c r="D327">
        <v>97</v>
      </c>
      <c r="E327">
        <v>2089</v>
      </c>
      <c r="F327">
        <v>36</v>
      </c>
      <c r="G327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327" s="3">
        <f>Tableau2[[#This Row],[Vitesse de production réelle (unités/heure)]]/vitesseTheorique</f>
        <v>0.97</v>
      </c>
      <c r="I327" s="4">
        <f>(Tableau2[[#This Row],[Nombre total d''unités produites]]-Tableau2[[#This Row],[Nombre d''unités défectueuses]])/Tableau2[[#This Row],[Nombre total d''unités produites]]</f>
        <v>0.98276687410244135</v>
      </c>
      <c r="J327" s="4">
        <f>Tableau2[[#This Row],[Disponibilité]]*Tableau2[[#This Row],[Performance]]*Tableau2[[#This Row],[Qualité]]</f>
        <v>0.90995278297576043</v>
      </c>
    </row>
    <row r="328" spans="1:10" x14ac:dyDescent="0.3">
      <c r="A328" s="2">
        <v>45612</v>
      </c>
      <c r="B328" s="3">
        <v>3</v>
      </c>
      <c r="C328" s="3">
        <v>1</v>
      </c>
      <c r="D328">
        <v>84</v>
      </c>
      <c r="E328">
        <v>1739</v>
      </c>
      <c r="F328">
        <v>53</v>
      </c>
      <c r="G328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28" s="3">
        <f>Tableau2[[#This Row],[Vitesse de production réelle (unités/heure)]]/vitesseTheorique</f>
        <v>0.84</v>
      </c>
      <c r="I328" s="4">
        <f>(Tableau2[[#This Row],[Nombre total d''unités produites]]-Tableau2[[#This Row],[Nombre d''unités défectueuses]])/Tableau2[[#This Row],[Nombre total d''unités produites]]</f>
        <v>0.96952271420356528</v>
      </c>
      <c r="J328" s="4">
        <f>Tableau2[[#This Row],[Disponibilité]]*Tableau2[[#This Row],[Performance]]*Tableau2[[#This Row],[Qualité]]</f>
        <v>0.77561817136285216</v>
      </c>
    </row>
    <row r="329" spans="1:10" x14ac:dyDescent="0.3">
      <c r="A329" s="2">
        <v>45613</v>
      </c>
      <c r="B329" s="3">
        <v>2</v>
      </c>
      <c r="C329" s="3">
        <v>1</v>
      </c>
      <c r="D329">
        <v>98</v>
      </c>
      <c r="E329">
        <v>2163</v>
      </c>
      <c r="F329">
        <v>41</v>
      </c>
      <c r="G329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329" s="3">
        <f>Tableau2[[#This Row],[Vitesse de production réelle (unités/heure)]]/vitesseTheorique</f>
        <v>0.98</v>
      </c>
      <c r="I329" s="4">
        <f>(Tableau2[[#This Row],[Nombre total d''unités produites]]-Tableau2[[#This Row],[Nombre d''unités défectueuses]])/Tableau2[[#This Row],[Nombre total d''unités produites]]</f>
        <v>0.981044845122515</v>
      </c>
      <c r="J329" s="4">
        <f>Tableau2[[#This Row],[Disponibilité]]*Tableau2[[#This Row],[Performance]]*Tableau2[[#This Row],[Qualité]]</f>
        <v>0.9177228596646072</v>
      </c>
    </row>
    <row r="330" spans="1:10" x14ac:dyDescent="0.3">
      <c r="A330" s="2">
        <v>45614</v>
      </c>
      <c r="B330" s="3">
        <v>1</v>
      </c>
      <c r="C330" s="3">
        <v>3</v>
      </c>
      <c r="D330">
        <v>81</v>
      </c>
      <c r="E330">
        <v>1750</v>
      </c>
      <c r="F330">
        <v>45</v>
      </c>
      <c r="G330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330" s="3">
        <f>Tableau2[[#This Row],[Vitesse de production réelle (unités/heure)]]/vitesseTheorique</f>
        <v>0.81</v>
      </c>
      <c r="I330" s="4">
        <f>(Tableau2[[#This Row],[Nombre total d''unités produites]]-Tableau2[[#This Row],[Nombre d''unités défectueuses]])/Tableau2[[#This Row],[Nombre total d''unités produites]]</f>
        <v>0.97428571428571431</v>
      </c>
      <c r="J330" s="4">
        <f>Tableau2[[#This Row],[Disponibilité]]*Tableau2[[#This Row],[Performance]]*Tableau2[[#This Row],[Qualité]]</f>
        <v>0.68623602484472057</v>
      </c>
    </row>
    <row r="331" spans="1:10" x14ac:dyDescent="0.3">
      <c r="A331" s="2">
        <v>45615</v>
      </c>
      <c r="B331" s="3">
        <v>1</v>
      </c>
      <c r="C331" s="3">
        <v>3</v>
      </c>
      <c r="D331">
        <v>80</v>
      </c>
      <c r="E331">
        <v>1894</v>
      </c>
      <c r="F331">
        <v>40</v>
      </c>
      <c r="G331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331" s="3">
        <f>Tableau2[[#This Row],[Vitesse de production réelle (unités/heure)]]/vitesseTheorique</f>
        <v>0.8</v>
      </c>
      <c r="I331" s="4">
        <f>(Tableau2[[#This Row],[Nombre total d''unités produites]]-Tableau2[[#This Row],[Nombre d''unités défectueuses]])/Tableau2[[#This Row],[Nombre total d''unités produites]]</f>
        <v>0.97888067581837379</v>
      </c>
      <c r="J331" s="4">
        <f>Tableau2[[#This Row],[Disponibilité]]*Tableau2[[#This Row],[Performance]]*Tableau2[[#This Row],[Qualité]]</f>
        <v>0.68096047013452088</v>
      </c>
    </row>
    <row r="332" spans="1:10" x14ac:dyDescent="0.3">
      <c r="A332" s="2">
        <v>45616</v>
      </c>
      <c r="B332" s="3">
        <v>2</v>
      </c>
      <c r="C332" s="3">
        <v>2</v>
      </c>
      <c r="D332">
        <v>91</v>
      </c>
      <c r="E332">
        <v>2174</v>
      </c>
      <c r="F332">
        <v>27</v>
      </c>
      <c r="G332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332" s="3">
        <f>Tableau2[[#This Row],[Vitesse de production réelle (unités/heure)]]/vitesseTheorique</f>
        <v>0.91</v>
      </c>
      <c r="I332" s="4">
        <f>(Tableau2[[#This Row],[Nombre total d''unités produites]]-Tableau2[[#This Row],[Nombre d''unités défectueuses]])/Tableau2[[#This Row],[Nombre total d''unités produites]]</f>
        <v>0.98758049678012882</v>
      </c>
      <c r="J332" s="4">
        <f>Tableau2[[#This Row],[Disponibilité]]*Tableau2[[#This Row],[Performance]]*Tableau2[[#This Row],[Qualité]]</f>
        <v>0.81699841097265202</v>
      </c>
    </row>
    <row r="333" spans="1:10" x14ac:dyDescent="0.3">
      <c r="A333" s="2">
        <v>45617</v>
      </c>
      <c r="B333" s="3">
        <v>2</v>
      </c>
      <c r="C333" s="3">
        <v>3</v>
      </c>
      <c r="D333">
        <v>99</v>
      </c>
      <c r="E333">
        <v>2249</v>
      </c>
      <c r="F333">
        <v>23</v>
      </c>
      <c r="G333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333" s="3">
        <f>Tableau2[[#This Row],[Vitesse de production réelle (unités/heure)]]/vitesseTheorique</f>
        <v>0.99</v>
      </c>
      <c r="I333" s="4">
        <f>(Tableau2[[#This Row],[Nombre total d''unités produites]]-Tableau2[[#This Row],[Nombre d''unités défectueuses]])/Tableau2[[#This Row],[Nombre total d''unités produites]]</f>
        <v>0.98977323254779903</v>
      </c>
      <c r="J333" s="4">
        <f>Tableau2[[#This Row],[Disponibilité]]*Tableau2[[#This Row],[Performance]]*Tableau2[[#This Row],[Qualité]]</f>
        <v>0.84625611382836818</v>
      </c>
    </row>
    <row r="334" spans="1:10" x14ac:dyDescent="0.3">
      <c r="A334" s="2">
        <v>45618</v>
      </c>
      <c r="B334" s="3">
        <v>3</v>
      </c>
      <c r="C334" s="3">
        <v>3</v>
      </c>
      <c r="D334">
        <v>89</v>
      </c>
      <c r="E334">
        <v>2210</v>
      </c>
      <c r="F334">
        <v>22</v>
      </c>
      <c r="G334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334" s="3">
        <f>Tableau2[[#This Row],[Vitesse de production réelle (unités/heure)]]/vitesseTheorique</f>
        <v>0.89</v>
      </c>
      <c r="I334" s="4">
        <f>(Tableau2[[#This Row],[Nombre total d''unités produites]]-Tableau2[[#This Row],[Nombre d''unités défectueuses]])/Tableau2[[#This Row],[Nombre total d''unités produites]]</f>
        <v>0.99004524886877832</v>
      </c>
      <c r="J334" s="4">
        <f>Tableau2[[#This Row],[Disponibilité]]*Tableau2[[#This Row],[Performance]]*Tableau2[[#This Row],[Qualité]]</f>
        <v>0.75526308985132506</v>
      </c>
    </row>
    <row r="335" spans="1:10" x14ac:dyDescent="0.3">
      <c r="A335" s="2">
        <v>45619</v>
      </c>
      <c r="B335" s="3">
        <v>2</v>
      </c>
      <c r="C335" s="3">
        <v>3</v>
      </c>
      <c r="D335">
        <v>91</v>
      </c>
      <c r="E335">
        <v>1876</v>
      </c>
      <c r="F335">
        <v>33</v>
      </c>
      <c r="G335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335" s="3">
        <f>Tableau2[[#This Row],[Vitesse de production réelle (unités/heure)]]/vitesseTheorique</f>
        <v>0.91</v>
      </c>
      <c r="I335" s="4">
        <f>(Tableau2[[#This Row],[Nombre total d''unités produites]]-Tableau2[[#This Row],[Nombre d''unités défectueuses]])/Tableau2[[#This Row],[Nombre total d''unités produites]]</f>
        <v>0.98240938166311298</v>
      </c>
      <c r="J335" s="4">
        <f>Tableau2[[#This Row],[Disponibilité]]*Tableau2[[#This Row],[Performance]]*Tableau2[[#This Row],[Qualité]]</f>
        <v>0.77208446404341924</v>
      </c>
    </row>
    <row r="336" spans="1:10" x14ac:dyDescent="0.3">
      <c r="A336" s="2">
        <v>45620</v>
      </c>
      <c r="B336" s="3">
        <v>1</v>
      </c>
      <c r="C336" s="3">
        <v>1</v>
      </c>
      <c r="D336">
        <v>90</v>
      </c>
      <c r="E336">
        <v>2162</v>
      </c>
      <c r="F336">
        <v>31</v>
      </c>
      <c r="G336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336" s="3">
        <f>Tableau2[[#This Row],[Vitesse de production réelle (unités/heure)]]/vitesseTheorique</f>
        <v>0.9</v>
      </c>
      <c r="I336" s="4">
        <f>(Tableau2[[#This Row],[Nombre total d''unités produites]]-Tableau2[[#This Row],[Nombre d''unités défectueuses]])/Tableau2[[#This Row],[Nombre total d''unités produites]]</f>
        <v>0.98566142460684547</v>
      </c>
      <c r="J336" s="4">
        <f>Tableau2[[#This Row],[Disponibilité]]*Tableau2[[#This Row],[Performance]]*Tableau2[[#This Row],[Qualité]]</f>
        <v>0.8485259220528496</v>
      </c>
    </row>
    <row r="337" spans="1:10" x14ac:dyDescent="0.3">
      <c r="A337" s="2">
        <v>45621</v>
      </c>
      <c r="B337" s="3">
        <v>3</v>
      </c>
      <c r="C337" s="3">
        <v>3</v>
      </c>
      <c r="D337">
        <v>89</v>
      </c>
      <c r="E337">
        <v>1966</v>
      </c>
      <c r="F337">
        <v>38</v>
      </c>
      <c r="G337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337" s="3">
        <f>Tableau2[[#This Row],[Vitesse de production réelle (unités/heure)]]/vitesseTheorique</f>
        <v>0.89</v>
      </c>
      <c r="I337" s="4">
        <f>(Tableau2[[#This Row],[Nombre total d''unités produites]]-Tableau2[[#This Row],[Nombre d''unités défectueuses]])/Tableau2[[#This Row],[Nombre total d''unités produites]]</f>
        <v>0.98067141403865721</v>
      </c>
      <c r="J337" s="4">
        <f>Tableau2[[#This Row],[Disponibilité]]*Tableau2[[#This Row],[Performance]]*Tableau2[[#This Row],[Qualité]]</f>
        <v>0.74811219299520415</v>
      </c>
    </row>
    <row r="338" spans="1:10" x14ac:dyDescent="0.3">
      <c r="A338" s="2">
        <v>45622</v>
      </c>
      <c r="B338" s="3">
        <v>1</v>
      </c>
      <c r="C338" s="3">
        <v>3</v>
      </c>
      <c r="D338">
        <v>90</v>
      </c>
      <c r="E338">
        <v>2295</v>
      </c>
      <c r="F338">
        <v>27</v>
      </c>
      <c r="G338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338" s="3">
        <f>Tableau2[[#This Row],[Vitesse de production réelle (unités/heure)]]/vitesseTheorique</f>
        <v>0.9</v>
      </c>
      <c r="I338" s="4">
        <f>(Tableau2[[#This Row],[Nombre total d''unités produites]]-Tableau2[[#This Row],[Nombre d''unités défectueuses]])/Tableau2[[#This Row],[Nombre total d''unités produites]]</f>
        <v>0.9882352941176471</v>
      </c>
      <c r="J338" s="4">
        <f>Tableau2[[#This Row],[Disponibilité]]*Tableau2[[#This Row],[Performance]]*Tableau2[[#This Row],[Qualité]]</f>
        <v>0.77340153452685434</v>
      </c>
    </row>
    <row r="339" spans="1:10" x14ac:dyDescent="0.3">
      <c r="A339" s="2">
        <v>45623</v>
      </c>
      <c r="B339" s="3">
        <v>2</v>
      </c>
      <c r="C339" s="3">
        <v>3</v>
      </c>
      <c r="D339">
        <v>94</v>
      </c>
      <c r="E339">
        <v>1777</v>
      </c>
      <c r="F339">
        <v>28</v>
      </c>
      <c r="G339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339" s="3">
        <f>Tableau2[[#This Row],[Vitesse de production réelle (unités/heure)]]/vitesseTheorique</f>
        <v>0.94</v>
      </c>
      <c r="I339" s="4">
        <f>(Tableau2[[#This Row],[Nombre total d''unités produites]]-Tableau2[[#This Row],[Nombre d''unités défectueuses]])/Tableau2[[#This Row],[Nombre total d''unités produites]]</f>
        <v>0.98424310635903212</v>
      </c>
      <c r="J339" s="4">
        <f>Tableau2[[#This Row],[Disponibilité]]*Tableau2[[#This Row],[Performance]]*Tableau2[[#This Row],[Qualité]]</f>
        <v>0.7990264490714688</v>
      </c>
    </row>
    <row r="340" spans="1:10" x14ac:dyDescent="0.3">
      <c r="A340" s="2">
        <v>45624</v>
      </c>
      <c r="B340" s="3">
        <v>3</v>
      </c>
      <c r="C340" s="3">
        <v>1</v>
      </c>
      <c r="D340">
        <v>82</v>
      </c>
      <c r="E340">
        <v>2150</v>
      </c>
      <c r="F340">
        <v>53</v>
      </c>
      <c r="G340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40" s="3">
        <f>Tableau2[[#This Row],[Vitesse de production réelle (unités/heure)]]/vitesseTheorique</f>
        <v>0.82</v>
      </c>
      <c r="I340" s="4">
        <f>(Tableau2[[#This Row],[Nombre total d''unités produites]]-Tableau2[[#This Row],[Nombre d''unités défectueuses]])/Tableau2[[#This Row],[Nombre total d''unités produites]]</f>
        <v>0.97534883720930232</v>
      </c>
      <c r="J340" s="4">
        <f>Tableau2[[#This Row],[Disponibilité]]*Tableau2[[#This Row],[Performance]]*Tableau2[[#This Row],[Qualité]]</f>
        <v>0.76170099667774072</v>
      </c>
    </row>
    <row r="341" spans="1:10" x14ac:dyDescent="0.3">
      <c r="A341" s="2">
        <v>45625</v>
      </c>
      <c r="B341" s="3">
        <v>1</v>
      </c>
      <c r="C341" s="3">
        <v>1</v>
      </c>
      <c r="D341">
        <v>83</v>
      </c>
      <c r="E341">
        <v>2028</v>
      </c>
      <c r="F341">
        <v>51</v>
      </c>
      <c r="G341" s="4">
        <f>(tpsFonctPrevu-Tableau2[[#This Row],[Temps d''arrêt planifié (heures)]]-Tableau2[[#This Row],[Temps d''arrêt non planifié (heures)]])/(tpsFonctPrevu-Tableau2[[#This Row],[Temps d''arrêt planifié (heures)]])</f>
        <v>0.95652173913043481</v>
      </c>
      <c r="H341" s="3">
        <f>Tableau2[[#This Row],[Vitesse de production réelle (unités/heure)]]/vitesseTheorique</f>
        <v>0.83</v>
      </c>
      <c r="I341" s="4">
        <f>(Tableau2[[#This Row],[Nombre total d''unités produites]]-Tableau2[[#This Row],[Nombre d''unités défectueuses]])/Tableau2[[#This Row],[Nombre total d''unités produites]]</f>
        <v>0.9748520710059172</v>
      </c>
      <c r="J341" s="4">
        <f>Tableau2[[#This Row],[Disponibilité]]*Tableau2[[#This Row],[Performance]]*Tableau2[[#This Row],[Qualité]]</f>
        <v>0.77394777463339337</v>
      </c>
    </row>
    <row r="342" spans="1:10" x14ac:dyDescent="0.3">
      <c r="A342" s="2">
        <v>45626</v>
      </c>
      <c r="B342" s="3">
        <v>3</v>
      </c>
      <c r="C342" s="3">
        <v>2</v>
      </c>
      <c r="D342">
        <v>96</v>
      </c>
      <c r="E342">
        <v>1783</v>
      </c>
      <c r="F342">
        <v>33</v>
      </c>
      <c r="G342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342" s="3">
        <f>Tableau2[[#This Row],[Vitesse de production réelle (unités/heure)]]/vitesseTheorique</f>
        <v>0.96</v>
      </c>
      <c r="I342" s="4">
        <f>(Tableau2[[#This Row],[Nombre total d''unités produites]]-Tableau2[[#This Row],[Nombre d''unités défectueuses]])/Tableau2[[#This Row],[Nombre total d''unités produites]]</f>
        <v>0.98149186763881102</v>
      </c>
      <c r="J342" s="4">
        <f>Tableau2[[#This Row],[Disponibilité]]*Tableau2[[#This Row],[Performance]]*Tableau2[[#This Row],[Qualité]]</f>
        <v>0.85249579360628158</v>
      </c>
    </row>
    <row r="343" spans="1:10" x14ac:dyDescent="0.3">
      <c r="A343" s="2">
        <v>45627</v>
      </c>
      <c r="B343" s="3">
        <v>2</v>
      </c>
      <c r="C343" s="3">
        <v>3</v>
      </c>
      <c r="D343">
        <v>95</v>
      </c>
      <c r="E343">
        <v>1975</v>
      </c>
      <c r="F343">
        <v>56</v>
      </c>
      <c r="G343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343" s="3">
        <f>Tableau2[[#This Row],[Vitesse de production réelle (unités/heure)]]/vitesseTheorique</f>
        <v>0.95</v>
      </c>
      <c r="I343" s="4">
        <f>(Tableau2[[#This Row],[Nombre total d''unités produites]]-Tableau2[[#This Row],[Nombre d''unités défectueuses]])/Tableau2[[#This Row],[Nombre total d''unités produites]]</f>
        <v>0.97164556962025317</v>
      </c>
      <c r="J343" s="4">
        <f>Tableau2[[#This Row],[Disponibilité]]*Tableau2[[#This Row],[Performance]]*Tableau2[[#This Row],[Qualité]]</f>
        <v>0.79719102416570775</v>
      </c>
    </row>
    <row r="344" spans="1:10" x14ac:dyDescent="0.3">
      <c r="A344" s="2">
        <v>45628</v>
      </c>
      <c r="B344" s="3">
        <v>1</v>
      </c>
      <c r="C344" s="3">
        <v>3</v>
      </c>
      <c r="D344">
        <v>99</v>
      </c>
      <c r="E344">
        <v>1983</v>
      </c>
      <c r="F344">
        <v>43</v>
      </c>
      <c r="G344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344" s="3">
        <f>Tableau2[[#This Row],[Vitesse de production réelle (unités/heure)]]/vitesseTheorique</f>
        <v>0.99</v>
      </c>
      <c r="I344" s="4">
        <f>(Tableau2[[#This Row],[Nombre total d''unités produites]]-Tableau2[[#This Row],[Nombre d''unités défectueuses]])/Tableau2[[#This Row],[Nombre total d''unités produites]]</f>
        <v>0.97831568330811902</v>
      </c>
      <c r="J344" s="4">
        <f>Tableau2[[#This Row],[Disponibilité]]*Tableau2[[#This Row],[Performance]]*Tableau2[[#This Row],[Qualité]]</f>
        <v>0.84220219693481546</v>
      </c>
    </row>
    <row r="345" spans="1:10" x14ac:dyDescent="0.3">
      <c r="A345" s="2">
        <v>45629</v>
      </c>
      <c r="B345" s="3">
        <v>2</v>
      </c>
      <c r="C345" s="3">
        <v>1</v>
      </c>
      <c r="D345">
        <v>96</v>
      </c>
      <c r="E345">
        <v>2266</v>
      </c>
      <c r="F345">
        <v>37</v>
      </c>
      <c r="G345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345" s="3">
        <f>Tableau2[[#This Row],[Vitesse de production réelle (unités/heure)]]/vitesseTheorique</f>
        <v>0.96</v>
      </c>
      <c r="I345" s="4">
        <f>(Tableau2[[#This Row],[Nombre total d''unités produites]]-Tableau2[[#This Row],[Nombre d''unités défectueuses]])/Tableau2[[#This Row],[Nombre total d''unités produites]]</f>
        <v>0.98367166813768758</v>
      </c>
      <c r="J345" s="4">
        <f>Tableau2[[#This Row],[Disponibilité]]*Tableau2[[#This Row],[Performance]]*Tableau2[[#This Row],[Qualité]]</f>
        <v>0.90140094680253557</v>
      </c>
    </row>
    <row r="346" spans="1:10" x14ac:dyDescent="0.3">
      <c r="A346" s="2">
        <v>45630</v>
      </c>
      <c r="B346" s="3">
        <v>1</v>
      </c>
      <c r="C346" s="3">
        <v>3</v>
      </c>
      <c r="D346">
        <v>90</v>
      </c>
      <c r="E346">
        <v>1713</v>
      </c>
      <c r="F346">
        <v>37</v>
      </c>
      <c r="G346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346" s="3">
        <f>Tableau2[[#This Row],[Vitesse de production réelle (unités/heure)]]/vitesseTheorique</f>
        <v>0.9</v>
      </c>
      <c r="I346" s="4">
        <f>(Tableau2[[#This Row],[Nombre total d''unités produites]]-Tableau2[[#This Row],[Nombre d''unités défectueuses]])/Tableau2[[#This Row],[Nombre total d''unités produites]]</f>
        <v>0.9784004670169294</v>
      </c>
      <c r="J346" s="4">
        <f>Tableau2[[#This Row],[Disponibilité]]*Tableau2[[#This Row],[Performance]]*Tableau2[[#This Row],[Qualité]]</f>
        <v>0.76570471331759693</v>
      </c>
    </row>
    <row r="347" spans="1:10" x14ac:dyDescent="0.3">
      <c r="A347" s="2">
        <v>45631</v>
      </c>
      <c r="B347" s="3">
        <v>2</v>
      </c>
      <c r="C347" s="3">
        <v>3</v>
      </c>
      <c r="D347">
        <v>80</v>
      </c>
      <c r="E347">
        <v>2267</v>
      </c>
      <c r="F347">
        <v>36</v>
      </c>
      <c r="G347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347" s="3">
        <f>Tableau2[[#This Row],[Vitesse de production réelle (unités/heure)]]/vitesseTheorique</f>
        <v>0.8</v>
      </c>
      <c r="I347" s="4">
        <f>(Tableau2[[#This Row],[Nombre total d''unités produites]]-Tableau2[[#This Row],[Nombre d''unités défectueuses]])/Tableau2[[#This Row],[Nombre total d''unités produites]]</f>
        <v>0.98411998235553599</v>
      </c>
      <c r="J347" s="4">
        <f>Tableau2[[#This Row],[Disponibilité]]*Tableau2[[#This Row],[Performance]]*Tableau2[[#This Row],[Qualité]]</f>
        <v>0.67993744235473397</v>
      </c>
    </row>
    <row r="348" spans="1:10" x14ac:dyDescent="0.3">
      <c r="A348" s="2">
        <v>45632</v>
      </c>
      <c r="B348" s="3">
        <v>1</v>
      </c>
      <c r="C348" s="3">
        <v>3</v>
      </c>
      <c r="D348">
        <v>81</v>
      </c>
      <c r="E348">
        <v>1703</v>
      </c>
      <c r="F348">
        <v>57</v>
      </c>
      <c r="G348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348" s="3">
        <f>Tableau2[[#This Row],[Vitesse de production réelle (unités/heure)]]/vitesseTheorique</f>
        <v>0.81</v>
      </c>
      <c r="I348" s="4">
        <f>(Tableau2[[#This Row],[Nombre total d''unités produites]]-Tableau2[[#This Row],[Nombre d''unités défectueuses]])/Tableau2[[#This Row],[Nombre total d''unités produites]]</f>
        <v>0.96652965355255427</v>
      </c>
      <c r="J348" s="4">
        <f>Tableau2[[#This Row],[Disponibilité]]*Tableau2[[#This Row],[Performance]]*Tableau2[[#This Row],[Qualité]]</f>
        <v>0.68077306032832086</v>
      </c>
    </row>
    <row r="349" spans="1:10" x14ac:dyDescent="0.3">
      <c r="A349" s="2">
        <v>45633</v>
      </c>
      <c r="B349" s="3">
        <v>2</v>
      </c>
      <c r="C349" s="3">
        <v>3</v>
      </c>
      <c r="D349">
        <v>82</v>
      </c>
      <c r="E349">
        <v>1709</v>
      </c>
      <c r="F349">
        <v>40</v>
      </c>
      <c r="G349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349" s="3">
        <f>Tableau2[[#This Row],[Vitesse de production réelle (unités/heure)]]/vitesseTheorique</f>
        <v>0.82</v>
      </c>
      <c r="I349" s="4">
        <f>(Tableau2[[#This Row],[Nombre total d''unités produites]]-Tableau2[[#This Row],[Nombre d''unités défectueuses]])/Tableau2[[#This Row],[Nombre total d''unités produites]]</f>
        <v>0.97659449970743128</v>
      </c>
      <c r="J349" s="4">
        <f>Tableau2[[#This Row],[Disponibilité]]*Tableau2[[#This Row],[Performance]]*Tableau2[[#This Row],[Qualité]]</f>
        <v>0.69160646842917173</v>
      </c>
    </row>
    <row r="350" spans="1:10" x14ac:dyDescent="0.3">
      <c r="A350" s="2">
        <v>45634</v>
      </c>
      <c r="B350" s="3">
        <v>3</v>
      </c>
      <c r="C350" s="3">
        <v>3</v>
      </c>
      <c r="D350">
        <v>86</v>
      </c>
      <c r="E350">
        <v>1794</v>
      </c>
      <c r="F350">
        <v>37</v>
      </c>
      <c r="G350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350" s="3">
        <f>Tableau2[[#This Row],[Vitesse de production réelle (unités/heure)]]/vitesseTheorique</f>
        <v>0.86</v>
      </c>
      <c r="I350" s="4">
        <f>(Tableau2[[#This Row],[Nombre total d''unités produites]]-Tableau2[[#This Row],[Nombre d''unités défectueuses]])/Tableau2[[#This Row],[Nombre total d''unités produites]]</f>
        <v>0.97937569676700109</v>
      </c>
      <c r="J350" s="4">
        <f>Tableau2[[#This Row],[Disponibilité]]*Tableau2[[#This Row],[Performance]]*Tableau2[[#This Row],[Qualité]]</f>
        <v>0.72193979933110364</v>
      </c>
    </row>
    <row r="351" spans="1:10" x14ac:dyDescent="0.3">
      <c r="A351" s="2">
        <v>45635</v>
      </c>
      <c r="B351" s="3">
        <v>1</v>
      </c>
      <c r="C351" s="3">
        <v>2</v>
      </c>
      <c r="D351">
        <v>97</v>
      </c>
      <c r="E351">
        <v>1754</v>
      </c>
      <c r="F351">
        <v>40</v>
      </c>
      <c r="G351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351" s="3">
        <f>Tableau2[[#This Row],[Vitesse de production réelle (unités/heure)]]/vitesseTheorique</f>
        <v>0.97</v>
      </c>
      <c r="I351" s="4">
        <f>(Tableau2[[#This Row],[Nombre total d''unités produites]]-Tableau2[[#This Row],[Nombre d''unités défectueuses]])/Tableau2[[#This Row],[Nombre total d''unités produites]]</f>
        <v>0.97719498289623719</v>
      </c>
      <c r="J351" s="4">
        <f>Tableau2[[#This Row],[Disponibilité]]*Tableau2[[#This Row],[Performance]]*Tableau2[[#This Row],[Qualité]]</f>
        <v>0.86545486093897173</v>
      </c>
    </row>
    <row r="352" spans="1:10" x14ac:dyDescent="0.3">
      <c r="A352" s="2">
        <v>45636</v>
      </c>
      <c r="B352" s="3">
        <v>1</v>
      </c>
      <c r="C352" s="3">
        <v>2</v>
      </c>
      <c r="D352">
        <v>98</v>
      </c>
      <c r="E352">
        <v>2269</v>
      </c>
      <c r="F352">
        <v>21</v>
      </c>
      <c r="G352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352" s="3">
        <f>Tableau2[[#This Row],[Vitesse de production réelle (unités/heure)]]/vitesseTheorique</f>
        <v>0.98</v>
      </c>
      <c r="I352" s="4">
        <f>(Tableau2[[#This Row],[Nombre total d''unités produites]]-Tableau2[[#This Row],[Nombre d''unités défectueuses]])/Tableau2[[#This Row],[Nombre total d''unités produites]]</f>
        <v>0.99074482150727194</v>
      </c>
      <c r="J352" s="4">
        <f>Tableau2[[#This Row],[Disponibilité]]*Tableau2[[#This Row],[Performance]]*Tableau2[[#This Row],[Qualité]]</f>
        <v>0.88650123593998498</v>
      </c>
    </row>
    <row r="353" spans="1:10" x14ac:dyDescent="0.3">
      <c r="A353" s="2">
        <v>45637</v>
      </c>
      <c r="B353" s="3">
        <v>2</v>
      </c>
      <c r="C353" s="3">
        <v>3</v>
      </c>
      <c r="D353">
        <v>92</v>
      </c>
      <c r="E353">
        <v>1851</v>
      </c>
      <c r="F353">
        <v>44</v>
      </c>
      <c r="G353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353" s="3">
        <f>Tableau2[[#This Row],[Vitesse de production réelle (unités/heure)]]/vitesseTheorique</f>
        <v>0.92</v>
      </c>
      <c r="I353" s="4">
        <f>(Tableau2[[#This Row],[Nombre total d''unités produites]]-Tableau2[[#This Row],[Nombre d''unités défectueuses]])/Tableau2[[#This Row],[Nombre total d''unités produites]]</f>
        <v>0.97622906537007026</v>
      </c>
      <c r="J353" s="4">
        <f>Tableau2[[#This Row],[Disponibilité]]*Tableau2[[#This Row],[Performance]]*Tableau2[[#This Row],[Qualité]]</f>
        <v>0.77565836648494679</v>
      </c>
    </row>
    <row r="354" spans="1:10" x14ac:dyDescent="0.3">
      <c r="A354" s="2">
        <v>45638</v>
      </c>
      <c r="B354" s="3">
        <v>3</v>
      </c>
      <c r="C354" s="3">
        <v>1</v>
      </c>
      <c r="D354">
        <v>85</v>
      </c>
      <c r="E354">
        <v>1833</v>
      </c>
      <c r="F354">
        <v>21</v>
      </c>
      <c r="G354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54" s="3">
        <f>Tableau2[[#This Row],[Vitesse de production réelle (unités/heure)]]/vitesseTheorique</f>
        <v>0.85</v>
      </c>
      <c r="I354" s="4">
        <f>(Tableau2[[#This Row],[Nombre total d''unités produites]]-Tableau2[[#This Row],[Nombre d''unités défectueuses]])/Tableau2[[#This Row],[Nombre total d''unités produites]]</f>
        <v>0.98854337152209493</v>
      </c>
      <c r="J354" s="4">
        <f>Tableau2[[#This Row],[Disponibilité]]*Tableau2[[#This Row],[Performance]]*Tableau2[[#This Row],[Qualité]]</f>
        <v>0.80024939599407674</v>
      </c>
    </row>
    <row r="355" spans="1:10" x14ac:dyDescent="0.3">
      <c r="A355" s="2">
        <v>45639</v>
      </c>
      <c r="B355" s="3">
        <v>2</v>
      </c>
      <c r="C355" s="3">
        <v>1</v>
      </c>
      <c r="D355">
        <v>84</v>
      </c>
      <c r="E355">
        <v>1998</v>
      </c>
      <c r="F355">
        <v>38</v>
      </c>
      <c r="G355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355" s="3">
        <f>Tableau2[[#This Row],[Vitesse de production réelle (unités/heure)]]/vitesseTheorique</f>
        <v>0.84</v>
      </c>
      <c r="I355" s="4">
        <f>(Tableau2[[#This Row],[Nombre total d''unités produites]]-Tableau2[[#This Row],[Nombre d''unités défectueuses]])/Tableau2[[#This Row],[Nombre total d''unités produites]]</f>
        <v>0.98098098098098097</v>
      </c>
      <c r="J355" s="4">
        <f>Tableau2[[#This Row],[Disponibilité]]*Tableau2[[#This Row],[Performance]]*Tableau2[[#This Row],[Qualité]]</f>
        <v>0.78656838656838657</v>
      </c>
    </row>
    <row r="356" spans="1:10" x14ac:dyDescent="0.3">
      <c r="A356" s="2">
        <v>45640</v>
      </c>
      <c r="B356" s="3">
        <v>2</v>
      </c>
      <c r="C356" s="3">
        <v>1</v>
      </c>
      <c r="D356">
        <v>97</v>
      </c>
      <c r="E356">
        <v>2173</v>
      </c>
      <c r="F356">
        <v>35</v>
      </c>
      <c r="G356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356" s="3">
        <f>Tableau2[[#This Row],[Vitesse de production réelle (unités/heure)]]/vitesseTheorique</f>
        <v>0.97</v>
      </c>
      <c r="I356" s="4">
        <f>(Tableau2[[#This Row],[Nombre total d''unités produites]]-Tableau2[[#This Row],[Nombre d''unités défectueuses]])/Tableau2[[#This Row],[Nombre total d''unités produites]]</f>
        <v>0.9838932351587667</v>
      </c>
      <c r="J356" s="4">
        <f>Tableau2[[#This Row],[Disponibilité]]*Tableau2[[#This Row],[Performance]]*Tableau2[[#This Row],[Qualité]]</f>
        <v>0.91099569091745802</v>
      </c>
    </row>
    <row r="357" spans="1:10" x14ac:dyDescent="0.3">
      <c r="A357" s="2">
        <v>45641</v>
      </c>
      <c r="B357" s="3">
        <v>2</v>
      </c>
      <c r="C357" s="3">
        <v>3</v>
      </c>
      <c r="D357">
        <v>92</v>
      </c>
      <c r="E357">
        <v>1783</v>
      </c>
      <c r="F357">
        <v>49</v>
      </c>
      <c r="G357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357" s="3">
        <f>Tableau2[[#This Row],[Vitesse de production réelle (unités/heure)]]/vitesseTheorique</f>
        <v>0.92</v>
      </c>
      <c r="I357" s="4">
        <f>(Tableau2[[#This Row],[Nombre total d''unités produites]]-Tableau2[[#This Row],[Nombre d''unités défectueuses]])/Tableau2[[#This Row],[Nombre total d''unités produites]]</f>
        <v>0.97251822770611329</v>
      </c>
      <c r="J357" s="4">
        <f>Tableau2[[#This Row],[Disponibilité]]*Tableau2[[#This Row],[Performance]]*Tableau2[[#This Row],[Qualité]]</f>
        <v>0.77270993728649362</v>
      </c>
    </row>
    <row r="358" spans="1:10" x14ac:dyDescent="0.3">
      <c r="A358" s="2">
        <v>45642</v>
      </c>
      <c r="B358" s="3">
        <v>3</v>
      </c>
      <c r="C358" s="3">
        <v>1</v>
      </c>
      <c r="D358">
        <v>88</v>
      </c>
      <c r="E358">
        <v>1929</v>
      </c>
      <c r="F358">
        <v>24</v>
      </c>
      <c r="G358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58" s="3">
        <f>Tableau2[[#This Row],[Vitesse de production réelle (unités/heure)]]/vitesseTheorique</f>
        <v>0.88</v>
      </c>
      <c r="I358" s="4">
        <f>(Tableau2[[#This Row],[Nombre total d''unités produites]]-Tableau2[[#This Row],[Nombre d''unités défectueuses]])/Tableau2[[#This Row],[Nombre total d''unités produites]]</f>
        <v>0.98755832037325042</v>
      </c>
      <c r="J358" s="4">
        <f>Tableau2[[#This Row],[Disponibilité]]*Tableau2[[#This Row],[Performance]]*Tableau2[[#This Row],[Qualité]]</f>
        <v>0.82766792564615266</v>
      </c>
    </row>
    <row r="359" spans="1:10" x14ac:dyDescent="0.3">
      <c r="A359" s="2">
        <v>45643</v>
      </c>
      <c r="B359" s="3">
        <v>2</v>
      </c>
      <c r="C359" s="3">
        <v>2</v>
      </c>
      <c r="D359">
        <v>83</v>
      </c>
      <c r="E359">
        <v>1931</v>
      </c>
      <c r="F359">
        <v>35</v>
      </c>
      <c r="G359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359" s="3">
        <f>Tableau2[[#This Row],[Vitesse de production réelle (unités/heure)]]/vitesseTheorique</f>
        <v>0.83</v>
      </c>
      <c r="I359" s="4">
        <f>(Tableau2[[#This Row],[Nombre total d''unités produites]]-Tableau2[[#This Row],[Nombre d''unités défectueuses]])/Tableau2[[#This Row],[Nombre total d''unités produites]]</f>
        <v>0.981874676333506</v>
      </c>
      <c r="J359" s="4">
        <f>Tableau2[[#This Row],[Disponibilité]]*Tableau2[[#This Row],[Performance]]*Tableau2[[#This Row],[Qualité]]</f>
        <v>0.74086907396073631</v>
      </c>
    </row>
    <row r="360" spans="1:10" x14ac:dyDescent="0.3">
      <c r="A360" s="2">
        <v>45644</v>
      </c>
      <c r="B360" s="3">
        <v>2</v>
      </c>
      <c r="C360" s="3">
        <v>1</v>
      </c>
      <c r="D360">
        <v>97</v>
      </c>
      <c r="E360">
        <v>2133</v>
      </c>
      <c r="F360">
        <v>59</v>
      </c>
      <c r="G360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360" s="3">
        <f>Tableau2[[#This Row],[Vitesse de production réelle (unités/heure)]]/vitesseTheorique</f>
        <v>0.97</v>
      </c>
      <c r="I360" s="4">
        <f>(Tableau2[[#This Row],[Nombre total d''unités produites]]-Tableau2[[#This Row],[Nombre d''unités défectueuses]])/Tableau2[[#This Row],[Nombre total d''unités produites]]</f>
        <v>0.97233942803563056</v>
      </c>
      <c r="J360" s="4">
        <f>Tableau2[[#This Row],[Disponibilité]]*Tableau2[[#This Row],[Performance]]*Tableau2[[#This Row],[Qualité]]</f>
        <v>0.90029791586753616</v>
      </c>
    </row>
    <row r="361" spans="1:10" x14ac:dyDescent="0.3">
      <c r="A361" s="2">
        <v>45645</v>
      </c>
      <c r="B361" s="3">
        <v>3</v>
      </c>
      <c r="C361" s="3">
        <v>3</v>
      </c>
      <c r="D361">
        <v>86</v>
      </c>
      <c r="E361">
        <v>1816</v>
      </c>
      <c r="F361">
        <v>44</v>
      </c>
      <c r="G361" s="4">
        <f>(tpsFonctPrevu-Tableau2[[#This Row],[Temps d''arrêt planifié (heures)]]-Tableau2[[#This Row],[Temps d''arrêt non planifié (heures)]])/(tpsFonctPrevu-Tableau2[[#This Row],[Temps d''arrêt planifié (heures)]])</f>
        <v>0.8571428571428571</v>
      </c>
      <c r="H361" s="3">
        <f>Tableau2[[#This Row],[Vitesse de production réelle (unités/heure)]]/vitesseTheorique</f>
        <v>0.86</v>
      </c>
      <c r="I361" s="4">
        <f>(Tableau2[[#This Row],[Nombre total d''unités produites]]-Tableau2[[#This Row],[Nombre d''unités défectueuses]])/Tableau2[[#This Row],[Nombre total d''unités produites]]</f>
        <v>0.97577092511013219</v>
      </c>
      <c r="J361" s="4">
        <f>Tableau2[[#This Row],[Disponibilité]]*Tableau2[[#This Row],[Performance]]*Tableau2[[#This Row],[Qualité]]</f>
        <v>0.71928256765261167</v>
      </c>
    </row>
    <row r="362" spans="1:10" x14ac:dyDescent="0.3">
      <c r="A362" s="2">
        <v>45646</v>
      </c>
      <c r="B362" s="3">
        <v>2</v>
      </c>
      <c r="C362" s="3">
        <v>2</v>
      </c>
      <c r="D362">
        <v>100</v>
      </c>
      <c r="E362">
        <v>1925</v>
      </c>
      <c r="F362">
        <v>52</v>
      </c>
      <c r="G362" s="4">
        <f>(tpsFonctPrevu-Tableau2[[#This Row],[Temps d''arrêt planifié (heures)]]-Tableau2[[#This Row],[Temps d''arrêt non planifié (heures)]])/(tpsFonctPrevu-Tableau2[[#This Row],[Temps d''arrêt planifié (heures)]])</f>
        <v>0.90909090909090906</v>
      </c>
      <c r="H362" s="3">
        <f>Tableau2[[#This Row],[Vitesse de production réelle (unités/heure)]]/vitesseTheorique</f>
        <v>1</v>
      </c>
      <c r="I362" s="4">
        <f>(Tableau2[[#This Row],[Nombre total d''unités produites]]-Tableau2[[#This Row],[Nombre d''unités défectueuses]])/Tableau2[[#This Row],[Nombre total d''unités produites]]</f>
        <v>0.97298701298701296</v>
      </c>
      <c r="J362" s="4">
        <f>Tableau2[[#This Row],[Disponibilité]]*Tableau2[[#This Row],[Performance]]*Tableau2[[#This Row],[Qualité]]</f>
        <v>0.88453364817001179</v>
      </c>
    </row>
    <row r="363" spans="1:10" x14ac:dyDescent="0.3">
      <c r="A363" s="2">
        <v>45647</v>
      </c>
      <c r="B363" s="3">
        <v>1</v>
      </c>
      <c r="C363" s="3">
        <v>3</v>
      </c>
      <c r="D363">
        <v>80</v>
      </c>
      <c r="E363">
        <v>2144</v>
      </c>
      <c r="F363">
        <v>44</v>
      </c>
      <c r="G363" s="4">
        <f>(tpsFonctPrevu-Tableau2[[#This Row],[Temps d''arrêt planifié (heures)]]-Tableau2[[#This Row],[Temps d''arrêt non planifié (heures)]])/(tpsFonctPrevu-Tableau2[[#This Row],[Temps d''arrêt planifié (heures)]])</f>
        <v>0.86956521739130432</v>
      </c>
      <c r="H363" s="3">
        <f>Tableau2[[#This Row],[Vitesse de production réelle (unités/heure)]]/vitesseTheorique</f>
        <v>0.8</v>
      </c>
      <c r="I363" s="4">
        <f>(Tableau2[[#This Row],[Nombre total d''unités produites]]-Tableau2[[#This Row],[Nombre d''unités défectueuses]])/Tableau2[[#This Row],[Nombre total d''unités produites]]</f>
        <v>0.97947761194029848</v>
      </c>
      <c r="J363" s="4">
        <f>Tableau2[[#This Row],[Disponibilité]]*Tableau2[[#This Row],[Performance]]*Tableau2[[#This Row],[Qualité]]</f>
        <v>0.68137573004542495</v>
      </c>
    </row>
    <row r="364" spans="1:10" x14ac:dyDescent="0.3">
      <c r="A364" s="2">
        <v>45648</v>
      </c>
      <c r="B364" s="3">
        <v>2</v>
      </c>
      <c r="C364" s="3">
        <v>1</v>
      </c>
      <c r="D364">
        <v>88</v>
      </c>
      <c r="E364">
        <v>2217</v>
      </c>
      <c r="F364">
        <v>33</v>
      </c>
      <c r="G364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364" s="3">
        <f>Tableau2[[#This Row],[Vitesse de production réelle (unités/heure)]]/vitesseTheorique</f>
        <v>0.88</v>
      </c>
      <c r="I364" s="4">
        <f>(Tableau2[[#This Row],[Nombre total d''unités produites]]-Tableau2[[#This Row],[Nombre d''unités défectueuses]])/Tableau2[[#This Row],[Nombre total d''unités produites]]</f>
        <v>0.9851150202976996</v>
      </c>
      <c r="J364" s="4">
        <f>Tableau2[[#This Row],[Disponibilité]]*Tableau2[[#This Row],[Performance]]*Tableau2[[#This Row],[Qualité]]</f>
        <v>0.82749661705006772</v>
      </c>
    </row>
    <row r="365" spans="1:10" x14ac:dyDescent="0.3">
      <c r="A365" s="2">
        <v>45649</v>
      </c>
      <c r="B365" s="3">
        <v>2</v>
      </c>
      <c r="C365" s="3">
        <v>3</v>
      </c>
      <c r="D365">
        <v>91</v>
      </c>
      <c r="E365">
        <v>1733</v>
      </c>
      <c r="F365">
        <v>20</v>
      </c>
      <c r="G365" s="4">
        <f>(tpsFonctPrevu-Tableau2[[#This Row],[Temps d''arrêt planifié (heures)]]-Tableau2[[#This Row],[Temps d''arrêt non planifié (heures)]])/(tpsFonctPrevu-Tableau2[[#This Row],[Temps d''arrêt planifié (heures)]])</f>
        <v>0.86363636363636365</v>
      </c>
      <c r="H365" s="3">
        <f>Tableau2[[#This Row],[Vitesse de production réelle (unités/heure)]]/vitesseTheorique</f>
        <v>0.91</v>
      </c>
      <c r="I365" s="4">
        <f>(Tableau2[[#This Row],[Nombre total d''unités produites]]-Tableau2[[#This Row],[Nombre d''unités défectueuses]])/Tableau2[[#This Row],[Nombre total d''unités produites]]</f>
        <v>0.98845931909982687</v>
      </c>
      <c r="J365" s="4">
        <f>Tableau2[[#This Row],[Disponibilité]]*Tableau2[[#This Row],[Performance]]*Tableau2[[#This Row],[Qualité]]</f>
        <v>0.77683916487436389</v>
      </c>
    </row>
    <row r="366" spans="1:10" x14ac:dyDescent="0.3">
      <c r="A366" s="2">
        <v>45650</v>
      </c>
      <c r="B366" s="3">
        <v>3</v>
      </c>
      <c r="C366" s="3">
        <v>2</v>
      </c>
      <c r="D366">
        <v>98</v>
      </c>
      <c r="E366">
        <v>2290</v>
      </c>
      <c r="F366">
        <v>58</v>
      </c>
      <c r="G366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366" s="3">
        <f>Tableau2[[#This Row],[Vitesse de production réelle (unités/heure)]]/vitesseTheorique</f>
        <v>0.98</v>
      </c>
      <c r="I366" s="4">
        <f>(Tableau2[[#This Row],[Nombre total d''unités produites]]-Tableau2[[#This Row],[Nombre d''unités défectueuses]])/Tableau2[[#This Row],[Nombre total d''unités produites]]</f>
        <v>0.97467248908296944</v>
      </c>
      <c r="J366" s="4">
        <f>Tableau2[[#This Row],[Disponibilité]]*Tableau2[[#This Row],[Performance]]*Tableau2[[#This Row],[Qualité]]</f>
        <v>0.86420960698689953</v>
      </c>
    </row>
    <row r="367" spans="1:10" x14ac:dyDescent="0.3">
      <c r="A367" s="2">
        <v>45651</v>
      </c>
      <c r="B367" s="3">
        <v>3</v>
      </c>
      <c r="C367" s="3">
        <v>2</v>
      </c>
      <c r="D367">
        <v>89</v>
      </c>
      <c r="E367">
        <v>1824</v>
      </c>
      <c r="F367">
        <v>45</v>
      </c>
      <c r="G367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367" s="3">
        <f>Tableau2[[#This Row],[Vitesse de production réelle (unités/heure)]]/vitesseTheorique</f>
        <v>0.89</v>
      </c>
      <c r="I367" s="4">
        <f>(Tableau2[[#This Row],[Nombre total d''unités produites]]-Tableau2[[#This Row],[Nombre d''unités défectueuses]])/Tableau2[[#This Row],[Nombre total d''unités produites]]</f>
        <v>0.97532894736842102</v>
      </c>
      <c r="J367" s="4">
        <f>Tableau2[[#This Row],[Disponibilité]]*Tableau2[[#This Row],[Performance]]*Tableau2[[#This Row],[Qualité]]</f>
        <v>0.78537202380952387</v>
      </c>
    </row>
    <row r="368" spans="1:10" x14ac:dyDescent="0.3">
      <c r="A368" s="2">
        <v>45652</v>
      </c>
      <c r="B368" s="3">
        <v>1</v>
      </c>
      <c r="C368" s="3">
        <v>2</v>
      </c>
      <c r="D368">
        <v>88</v>
      </c>
      <c r="E368">
        <v>1861</v>
      </c>
      <c r="F368">
        <v>32</v>
      </c>
      <c r="G368" s="4">
        <f>(tpsFonctPrevu-Tableau2[[#This Row],[Temps d''arrêt planifié (heures)]]-Tableau2[[#This Row],[Temps d''arrêt non planifié (heures)]])/(tpsFonctPrevu-Tableau2[[#This Row],[Temps d''arrêt planifié (heures)]])</f>
        <v>0.91304347826086951</v>
      </c>
      <c r="H368" s="3">
        <f>Tableau2[[#This Row],[Vitesse de production réelle (unités/heure)]]/vitesseTheorique</f>
        <v>0.88</v>
      </c>
      <c r="I368" s="4">
        <f>(Tableau2[[#This Row],[Nombre total d''unités produites]]-Tableau2[[#This Row],[Nombre d''unités défectueuses]])/Tableau2[[#This Row],[Nombre total d''unités produites]]</f>
        <v>0.98280494357872117</v>
      </c>
      <c r="J368" s="4">
        <f>Tableau2[[#This Row],[Disponibilité]]*Tableau2[[#This Row],[Performance]]*Tableau2[[#This Row],[Qualité]]</f>
        <v>0.78966240684064204</v>
      </c>
    </row>
    <row r="369" spans="1:10" x14ac:dyDescent="0.3">
      <c r="A369" s="2">
        <v>45653</v>
      </c>
      <c r="B369" s="3">
        <v>3</v>
      </c>
      <c r="C369" s="3">
        <v>2</v>
      </c>
      <c r="D369">
        <v>84</v>
      </c>
      <c r="E369">
        <v>1933</v>
      </c>
      <c r="F369">
        <v>36</v>
      </c>
      <c r="G369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369" s="3">
        <f>Tableau2[[#This Row],[Vitesse de production réelle (unités/heure)]]/vitesseTheorique</f>
        <v>0.84</v>
      </c>
      <c r="I369" s="4">
        <f>(Tableau2[[#This Row],[Nombre total d''unités produites]]-Tableau2[[#This Row],[Nombre d''unités défectueuses]])/Tableau2[[#This Row],[Nombre total d''unités produites]]</f>
        <v>0.98137609932747027</v>
      </c>
      <c r="J369" s="4">
        <f>Tableau2[[#This Row],[Disponibilité]]*Tableau2[[#This Row],[Performance]]*Tableau2[[#This Row],[Qualité]]</f>
        <v>0.7458458354888774</v>
      </c>
    </row>
    <row r="370" spans="1:10" x14ac:dyDescent="0.3">
      <c r="A370" s="2">
        <v>45654</v>
      </c>
      <c r="B370" s="3">
        <v>3</v>
      </c>
      <c r="C370" s="3">
        <v>1</v>
      </c>
      <c r="D370">
        <v>84</v>
      </c>
      <c r="E370">
        <v>2013</v>
      </c>
      <c r="F370">
        <v>23</v>
      </c>
      <c r="G370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70" s="3">
        <f>Tableau2[[#This Row],[Vitesse de production réelle (unités/heure)]]/vitesseTheorique</f>
        <v>0.84</v>
      </c>
      <c r="I370" s="4">
        <f>(Tableau2[[#This Row],[Nombre total d''unités produites]]-Tableau2[[#This Row],[Nombre d''unités défectueuses]])/Tableau2[[#This Row],[Nombre total d''unités produites]]</f>
        <v>0.98857426726279185</v>
      </c>
      <c r="J370" s="4">
        <f>Tableau2[[#This Row],[Disponibilité]]*Tableau2[[#This Row],[Performance]]*Tableau2[[#This Row],[Qualité]]</f>
        <v>0.79085941381023339</v>
      </c>
    </row>
    <row r="371" spans="1:10" x14ac:dyDescent="0.3">
      <c r="A371" s="2">
        <v>45655</v>
      </c>
      <c r="B371" s="3">
        <v>2</v>
      </c>
      <c r="C371" s="3">
        <v>1</v>
      </c>
      <c r="D371">
        <v>95</v>
      </c>
      <c r="E371">
        <v>1867</v>
      </c>
      <c r="F371">
        <v>40</v>
      </c>
      <c r="G371" s="4">
        <f>(tpsFonctPrevu-Tableau2[[#This Row],[Temps d''arrêt planifié (heures)]]-Tableau2[[#This Row],[Temps d''arrêt non planifié (heures)]])/(tpsFonctPrevu-Tableau2[[#This Row],[Temps d''arrêt planifié (heures)]])</f>
        <v>0.95454545454545459</v>
      </c>
      <c r="H371" s="3">
        <f>Tableau2[[#This Row],[Vitesse de production réelle (unités/heure)]]/vitesseTheorique</f>
        <v>0.95</v>
      </c>
      <c r="I371" s="4">
        <f>(Tableau2[[#This Row],[Nombre total d''unités produites]]-Tableau2[[#This Row],[Nombre d''unités défectueuses]])/Tableau2[[#This Row],[Nombre total d''unités produites]]</f>
        <v>0.97857525441885373</v>
      </c>
      <c r="J371" s="4">
        <f>Tableau2[[#This Row],[Disponibilité]]*Tableau2[[#This Row],[Performance]]*Tableau2[[#This Row],[Qualité]]</f>
        <v>0.88738983298436969</v>
      </c>
    </row>
    <row r="372" spans="1:10" x14ac:dyDescent="0.3">
      <c r="A372" s="2">
        <v>45656</v>
      </c>
      <c r="B372" s="3">
        <v>3</v>
      </c>
      <c r="C372" s="3">
        <v>1</v>
      </c>
      <c r="D372">
        <v>84</v>
      </c>
      <c r="E372">
        <v>2173</v>
      </c>
      <c r="F372">
        <v>35</v>
      </c>
      <c r="G372" s="4">
        <f>(tpsFonctPrevu-Tableau2[[#This Row],[Temps d''arrêt planifié (heures)]]-Tableau2[[#This Row],[Temps d''arrêt non planifié (heures)]])/(tpsFonctPrevu-Tableau2[[#This Row],[Temps d''arrêt planifié (heures)]])</f>
        <v>0.95238095238095233</v>
      </c>
      <c r="H372" s="3">
        <f>Tableau2[[#This Row],[Vitesse de production réelle (unités/heure)]]/vitesseTheorique</f>
        <v>0.84</v>
      </c>
      <c r="I372" s="4">
        <f>(Tableau2[[#This Row],[Nombre total d''unités produites]]-Tableau2[[#This Row],[Nombre d''unités défectueuses]])/Tableau2[[#This Row],[Nombre total d''unités produites]]</f>
        <v>0.9838932351587667</v>
      </c>
      <c r="J372" s="4">
        <f>Tableau2[[#This Row],[Disponibilité]]*Tableau2[[#This Row],[Performance]]*Tableau2[[#This Row],[Qualité]]</f>
        <v>0.78711458812701329</v>
      </c>
    </row>
    <row r="373" spans="1:10" x14ac:dyDescent="0.3">
      <c r="A373" s="2">
        <v>45657</v>
      </c>
      <c r="B373" s="3">
        <v>3</v>
      </c>
      <c r="C373" s="3">
        <v>2</v>
      </c>
      <c r="D373">
        <v>82</v>
      </c>
      <c r="E373">
        <v>2201</v>
      </c>
      <c r="F373">
        <v>25</v>
      </c>
      <c r="G373" s="4">
        <f>(tpsFonctPrevu-Tableau2[[#This Row],[Temps d''arrêt planifié (heures)]]-Tableau2[[#This Row],[Temps d''arrêt non planifié (heures)]])/(tpsFonctPrevu-Tableau2[[#This Row],[Temps d''arrêt planifié (heures)]])</f>
        <v>0.90476190476190477</v>
      </c>
      <c r="H373" s="3">
        <f>Tableau2[[#This Row],[Vitesse de production réelle (unités/heure)]]/vitesseTheorique</f>
        <v>0.82</v>
      </c>
      <c r="I373" s="4">
        <f>(Tableau2[[#This Row],[Nombre total d''unités produites]]-Tableau2[[#This Row],[Nombre d''unités défectueuses]])/Tableau2[[#This Row],[Nombre total d''unités produites]]</f>
        <v>0.98864152657882776</v>
      </c>
      <c r="J373" s="4">
        <f>Tableau2[[#This Row],[Disponibilité]]*Tableau2[[#This Row],[Performance]]*Tableau2[[#This Row],[Qualité]]</f>
        <v>0.73347785638562546</v>
      </c>
    </row>
  </sheetData>
  <mergeCells count="5">
    <mergeCell ref="A1:M1"/>
    <mergeCell ref="L9:M9"/>
    <mergeCell ref="L10:M10"/>
    <mergeCell ref="L11:M11"/>
    <mergeCell ref="L12:M1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Avec recopie</vt:lpstr>
      <vt:lpstr>Avec données globales</vt:lpstr>
      <vt:lpstr>Avec tableau structuré</vt:lpstr>
      <vt:lpstr>tpsFonctPrevu</vt:lpstr>
      <vt:lpstr>vitesseTheorique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Poix Martine</dc:creator>
  <cp:lastModifiedBy>Poix Martine</cp:lastModifiedBy>
  <dcterms:created xsi:type="dcterms:W3CDTF">2024-06-17T11:40:47Z</dcterms:created>
  <dcterms:modified xsi:type="dcterms:W3CDTF">2025-11-17T14:44:52Z</dcterms:modified>
</cp:coreProperties>
</file>