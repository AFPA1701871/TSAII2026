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fpa365-my.sharepoint.com/personal/1701871_afpa_fr/Documents/Documents/Mes Cours/Excel/"/>
    </mc:Choice>
  </mc:AlternateContent>
  <xr:revisionPtr revIDLastSave="0" documentId="8_{FB1C001A-A761-4417-8816-7067B34DEF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CD" sheetId="4" r:id="rId1"/>
    <sheet name="Données" sheetId="1" r:id="rId2"/>
    <sheet name="Par période" sheetId="2" r:id="rId3"/>
    <sheet name="somme.si.ens" sheetId="3" r:id="rId4"/>
  </sheets>
  <calcPr calcId="191029"/>
  <pivotCaches>
    <pivotCache cacheId="1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" i="3" l="1"/>
  <c r="C11" i="3"/>
  <c r="D11" i="3"/>
  <c r="E11" i="3"/>
  <c r="F11" i="3"/>
  <c r="G11" i="3"/>
  <c r="H11" i="3"/>
  <c r="I11" i="3"/>
  <c r="J11" i="3"/>
  <c r="K11" i="3"/>
  <c r="L11" i="3"/>
  <c r="M11" i="3"/>
  <c r="N12" i="2" l="1"/>
  <c r="N13" i="2" s="1"/>
  <c r="L13" i="2"/>
  <c r="M12" i="2"/>
  <c r="M13" i="2" s="1"/>
  <c r="L12" i="2"/>
  <c r="K12" i="2"/>
  <c r="K13" i="2" s="1"/>
  <c r="J12" i="2"/>
  <c r="J13" i="2" s="1"/>
  <c r="I12" i="2"/>
  <c r="I13" i="2" s="1"/>
  <c r="H12" i="2"/>
  <c r="H13" i="2" s="1"/>
  <c r="G12" i="2"/>
  <c r="G13" i="2" s="1"/>
  <c r="F12" i="2"/>
  <c r="F13" i="2" s="1"/>
  <c r="E12" i="2"/>
  <c r="E13" i="2" s="1"/>
  <c r="D12" i="2"/>
  <c r="D13" i="2" s="1"/>
  <c r="C12" i="2"/>
  <c r="D17" i="2" l="1"/>
  <c r="C13" i="2" l="1"/>
  <c r="D5" i="2"/>
  <c r="C5" i="2"/>
  <c r="G12" i="1"/>
  <c r="C8" i="1"/>
  <c r="C9" i="1"/>
  <c r="C10" i="1"/>
  <c r="C11" i="1"/>
  <c r="D10" i="3" s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I10" i="3" s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L10" i="3" s="1"/>
  <c r="C51" i="1"/>
  <c r="C52" i="1"/>
  <c r="C53" i="1"/>
  <c r="C54" i="1"/>
  <c r="C55" i="1"/>
  <c r="M10" i="3" s="1"/>
  <c r="C56" i="1"/>
  <c r="C57" i="1"/>
  <c r="C58" i="1"/>
  <c r="C59" i="1"/>
  <c r="N10" i="3" s="1"/>
  <c r="C60" i="1"/>
  <c r="C61" i="1"/>
  <c r="C6" i="1"/>
  <c r="C7" i="1"/>
  <c r="C5" i="1"/>
  <c r="K10" i="3" l="1"/>
  <c r="F10" i="3"/>
  <c r="J10" i="3"/>
  <c r="C10" i="3"/>
  <c r="D10" i="2"/>
  <c r="C4" i="2"/>
  <c r="H10" i="2"/>
  <c r="I10" i="2"/>
  <c r="I11" i="2" s="1"/>
  <c r="M10" i="2"/>
  <c r="E10" i="2"/>
  <c r="E11" i="2" s="1"/>
  <c r="C10" i="2"/>
  <c r="F10" i="2"/>
  <c r="J10" i="2"/>
  <c r="J11" i="2" s="1"/>
  <c r="L10" i="2"/>
  <c r="L11" i="2" s="1"/>
  <c r="N10" i="2"/>
  <c r="G10" i="2"/>
  <c r="K10" i="2"/>
  <c r="K11" i="2" s="1"/>
  <c r="H10" i="3"/>
  <c r="G10" i="3"/>
  <c r="E10" i="3"/>
  <c r="D4" i="2"/>
  <c r="D6" i="2" s="1"/>
  <c r="C6" i="2"/>
  <c r="G11" i="1"/>
  <c r="G13" i="1" s="1"/>
  <c r="C11" i="2"/>
  <c r="F11" i="2" l="1"/>
  <c r="N11" i="2"/>
  <c r="M11" i="2"/>
  <c r="H11" i="2"/>
  <c r="D11" i="2"/>
  <c r="G11" i="2"/>
  <c r="C14" i="2"/>
  <c r="D14" i="2" l="1"/>
  <c r="E14" i="2" l="1"/>
  <c r="F14" i="2" l="1"/>
  <c r="G14" i="2" l="1"/>
  <c r="H14" i="2" l="1"/>
  <c r="I14" i="2" l="1"/>
  <c r="J14" i="2" l="1"/>
  <c r="K14" i="2" l="1"/>
  <c r="L14" i="2" l="1"/>
  <c r="N14" i="2" l="1"/>
  <c r="M14" i="2"/>
</calcChain>
</file>

<file path=xl/sharedStrings.xml><?xml version="1.0" encoding="utf-8"?>
<sst xmlns="http://schemas.openxmlformats.org/spreadsheetml/2006/main" count="84" uniqueCount="54">
  <si>
    <t>Date de Début de Fonctionnement</t>
  </si>
  <si>
    <t>Date de Fin de Fonctionnement</t>
  </si>
  <si>
    <t>Durée de Fonctionnement (heures)</t>
  </si>
  <si>
    <t>Nombre de Pannes</t>
  </si>
  <si>
    <t>Calculer la durée de fonctionnement totale</t>
  </si>
  <si>
    <t>Calculer le nombre total de pannes</t>
  </si>
  <si>
    <t>Calculer le temps moyens entre pannes</t>
  </si>
  <si>
    <t>Nombre total de pannes</t>
  </si>
  <si>
    <t>Par semestre</t>
  </si>
  <si>
    <t>Refaire les mêmes calculs</t>
  </si>
  <si>
    <t>Par mois</t>
  </si>
  <si>
    <t>Durée de fonctionnement totale (h)</t>
  </si>
  <si>
    <t>Temps Moyens Entre Pannes (h)</t>
  </si>
  <si>
    <t>S1</t>
  </si>
  <si>
    <t>S2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</si>
  <si>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</si>
  <si>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</si>
  <si>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</si>
  <si>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</si>
  <si>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</si>
  <si>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</si>
  <si>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</si>
  <si>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</si>
  <si>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</si>
  <si>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</si>
  <si>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</si>
  <si>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</si>
  <si>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Temps moyen entre pannes</t>
  </si>
  <si>
    <t>=SOMME(C5:C61)</t>
  </si>
  <si>
    <t>=SOMME(D5:D61)</t>
  </si>
  <si>
    <t>=G11/G12</t>
  </si>
  <si>
    <t>=SOMME.SI(Données!$A$5:$A$61;"&lt;01/07/2024";Données!$C$5:$C$61)</t>
  </si>
  <si>
    <t>Durée de fonctionnement totale cumulée (h)</t>
  </si>
  <si>
    <t>Concatenation</t>
  </si>
  <si>
    <t>="&lt;01/" &amp; D$9 &amp; "/2024"</t>
  </si>
  <si>
    <t>Nombre total de pannes cumulée</t>
  </si>
  <si>
    <t>'=SOMME.SI(Données!$A$5:$A$61;"&lt;01/07/2024";Données!$C$5:$C$61)</t>
  </si>
  <si>
    <t>=SOMME.SI.ENS(Données!D:D;Données!A:A;"&gt;=01/01/2024";Données!A:A;"&lt;01/02/2024")</t>
  </si>
  <si>
    <t>Étiquettes de lignes</t>
  </si>
  <si>
    <t>Total général</t>
  </si>
  <si>
    <t>janv</t>
  </si>
  <si>
    <t>févr</t>
  </si>
  <si>
    <t>mars</t>
  </si>
  <si>
    <t>avr</t>
  </si>
  <si>
    <t>mai</t>
  </si>
  <si>
    <t>juin</t>
  </si>
  <si>
    <t>juil</t>
  </si>
  <si>
    <t>août</t>
  </si>
  <si>
    <t>sept</t>
  </si>
  <si>
    <t>oct</t>
  </si>
  <si>
    <t>nov</t>
  </si>
  <si>
    <t>déc</t>
  </si>
  <si>
    <t xml:space="preserve">Total de pannes </t>
  </si>
  <si>
    <t>Fonctionnement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</si>
</sst>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2" fontId="1" fillId="0" borderId="8" xfId="0" applyNumberFormat="1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2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2" fontId="1" fillId="0" borderId="15" xfId="0" applyNumberFormat="1" applyFont="1" applyBorder="1"/>
    <xf numFmtId="2" fontId="1" fillId="0" borderId="16" xfId="0" applyNumberFormat="1" applyFont="1" applyBorder="1"/>
    <xf numFmtId="2" fontId="1" fillId="0" borderId="11" xfId="0" applyNumberFormat="1" applyFont="1" applyBorder="1"/>
    <xf numFmtId="0" fontId="0" fillId="0" borderId="0" xfId="0" quotePrefix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0" fontId="3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ine" refreshedDate="45979.590008564817" createdVersion="8" refreshedVersion="8" minRefreshableVersion="3" recordCount="57" xr:uid="{06FD9908-FA71-4B4E-AE24-0572102674BF}">
  <cacheSource type="worksheet">
    <worksheetSource ref="A4:D61" sheet="Données"/>
  </cacheSource>
  <cacheFields count="7">
    <cacheField name="Date de Début de Fonctionnement" numFmtId="14">
      <sharedItems containsSemiMixedTypes="0" containsNonDate="0" containsDate="1" containsString="0" minDate="2024-01-01T00:00:00" maxDate="2024-12-24T00:00:00" count="57">
        <d v="2024-01-01T00:00:00"/>
        <d v="2024-01-10T00:00:00"/>
        <d v="2024-01-16T00:00:00"/>
        <d v="2024-01-20T00:00:00"/>
        <d v="2024-01-25T00:00:00"/>
        <d v="2024-01-31T00:00:00"/>
        <d v="2024-02-02T00:00:00"/>
        <d v="2024-02-06T00:00:00"/>
        <d v="2024-02-17T00:00:00"/>
        <d v="2024-02-28T00:00:00"/>
        <d v="2024-03-02T00:00:00"/>
        <d v="2024-03-08T00:00:00"/>
        <d v="2024-03-10T00:00:00"/>
        <d v="2024-03-14T00:00:00"/>
        <d v="2024-03-18T00:00:00"/>
        <d v="2024-03-21T00:00:00"/>
        <d v="2024-03-23T00:00:00"/>
        <d v="2024-03-31T00:00:00"/>
        <d v="2024-04-04T00:00:00"/>
        <d v="2024-04-12T00:00:00"/>
        <d v="2024-04-19T00:00:00"/>
        <d v="2024-04-27T00:00:00"/>
        <d v="2024-05-07T00:00:00"/>
        <d v="2024-05-16T00:00:00"/>
        <d v="2024-05-27T00:00:00"/>
        <d v="2024-05-29T00:00:00"/>
        <d v="2024-06-04T00:00:00"/>
        <d v="2024-06-15T00:00:00"/>
        <d v="2024-06-18T00:00:00"/>
        <d v="2024-06-21T00:00:00"/>
        <d v="2024-06-24T00:00:00"/>
        <d v="2024-06-29T00:00:00"/>
        <d v="2024-07-01T00:00:00"/>
        <d v="2024-07-11T00:00:00"/>
        <d v="2024-07-20T00:00:00"/>
        <d v="2024-07-28T00:00:00"/>
        <d v="2024-08-04T00:00:00"/>
        <d v="2024-08-12T00:00:00"/>
        <d v="2024-08-21T00:00:00"/>
        <d v="2024-08-28T00:00:00"/>
        <d v="2024-08-30T00:00:00"/>
        <d v="2024-09-03T00:00:00"/>
        <d v="2024-09-13T00:00:00"/>
        <d v="2024-09-21T00:00:00"/>
        <d v="2024-09-26T00:00:00"/>
        <d v="2024-10-02T00:00:00"/>
        <d v="2024-10-13T00:00:00"/>
        <d v="2024-10-19T00:00:00"/>
        <d v="2024-10-24T00:00:00"/>
        <d v="2024-10-30T00:00:00"/>
        <d v="2024-11-01T00:00:00"/>
        <d v="2024-11-12T00:00:00"/>
        <d v="2024-11-19T00:00:00"/>
        <d v="2024-11-24T00:00:00"/>
        <d v="2024-12-04T00:00:00"/>
        <d v="2024-12-15T00:00:00"/>
        <d v="2024-12-23T00:00:00"/>
      </sharedItems>
      <fieldGroup par="5"/>
    </cacheField>
    <cacheField name="Date de Fin de Fonctionnement" numFmtId="14">
      <sharedItems containsSemiMixedTypes="0" containsNonDate="0" containsDate="1" containsString="0" minDate="2024-01-09T00:00:00" maxDate="2025-01-01T00:00:00"/>
    </cacheField>
    <cacheField name="Durée de Fonctionnement (heures)" numFmtId="0">
      <sharedItems containsSemiMixedTypes="0" containsString="0" containsNumber="1" containsInteger="1" minValue="24" maxValue="240"/>
    </cacheField>
    <cacheField name="Nombre de Pannes" numFmtId="0">
      <sharedItems containsSemiMixedTypes="0" containsString="0" containsNumber="1" containsInteger="1" minValue="1" maxValue="10"/>
    </cacheField>
    <cacheField name="Jours (Date de Début de Fonctionnement)" numFmtId="0" databaseField="0">
      <fieldGroup base="0">
        <rangePr groupBy="days" startDate="2024-01-01T00:00:00" endDate="2024-12-24T00:00:00"/>
        <groupItems count="368">
          <s v="&lt;01/01/2024"/>
          <s v="01-janv"/>
          <s v="02-janv"/>
          <s v="03-janv"/>
          <s v="04-janv"/>
          <s v="05-janv"/>
          <s v="06-janv"/>
          <s v="07-janv"/>
          <s v="08-janv"/>
          <s v="09-janv"/>
          <s v="10-janv"/>
          <s v="11-janv"/>
          <s v="12-janv"/>
          <s v="13-janv"/>
          <s v="14-janv"/>
          <s v="15-janv"/>
          <s v="16-janv"/>
          <s v="17-janv"/>
          <s v="18-janv"/>
          <s v="19-janv"/>
          <s v="20-janv"/>
          <s v="21-janv"/>
          <s v="22-janv"/>
          <s v="23-janv"/>
          <s v="24-janv"/>
          <s v="25-janv"/>
          <s v="26-janv"/>
          <s v="27-janv"/>
          <s v="28-janv"/>
          <s v="29-janv"/>
          <s v="30-janv"/>
          <s v="31-janv"/>
          <s v="01-févr"/>
          <s v="02-févr"/>
          <s v="03-févr"/>
          <s v="04-févr"/>
          <s v="05-févr"/>
          <s v="06-févr"/>
          <s v="07-févr"/>
          <s v="08-févr"/>
          <s v="09-févr"/>
          <s v="10-févr"/>
          <s v="11-févr"/>
          <s v="12-févr"/>
          <s v="13-févr"/>
          <s v="14-févr"/>
          <s v="15-févr"/>
          <s v="16-févr"/>
          <s v="17-févr"/>
          <s v="18-févr"/>
          <s v="19-févr"/>
          <s v="20-févr"/>
          <s v="21-févr"/>
          <s v="22-févr"/>
          <s v="23-févr"/>
          <s v="24-févr"/>
          <s v="25-févr"/>
          <s v="26-févr"/>
          <s v="27-févr"/>
          <s v="28-févr"/>
          <s v="29-févr"/>
          <s v="01-mars"/>
          <s v="02-mars"/>
          <s v="03-mars"/>
          <s v="04-mars"/>
          <s v="05-mars"/>
          <s v="06-mars"/>
          <s v="07-mars"/>
          <s v="08-mars"/>
          <s v="09-mars"/>
          <s v="10-mars"/>
          <s v="11-mars"/>
          <s v="12-mars"/>
          <s v="13-mars"/>
          <s v="14-mars"/>
          <s v="15-mars"/>
          <s v="16-mars"/>
          <s v="17-mars"/>
          <s v="18-mars"/>
          <s v="19-mars"/>
          <s v="20-mars"/>
          <s v="21-mars"/>
          <s v="22-mars"/>
          <s v="23-mars"/>
          <s v="24-mars"/>
          <s v="25-mars"/>
          <s v="26-mars"/>
          <s v="27-mars"/>
          <s v="28-mars"/>
          <s v="29-mars"/>
          <s v="30-mars"/>
          <s v="31-mars"/>
          <s v="01-avr"/>
          <s v="02-avr"/>
          <s v="03-avr"/>
          <s v="04-avr"/>
          <s v="05-avr"/>
          <s v="06-avr"/>
          <s v="07-avr"/>
          <s v="08-avr"/>
          <s v="09-avr"/>
          <s v="10-avr"/>
          <s v="11-avr"/>
          <s v="12-avr"/>
          <s v="13-avr"/>
          <s v="14-avr"/>
          <s v="15-avr"/>
          <s v="16-avr"/>
          <s v="17-avr"/>
          <s v="18-avr"/>
          <s v="19-avr"/>
          <s v="20-avr"/>
          <s v="21-avr"/>
          <s v="22-avr"/>
          <s v="23-avr"/>
          <s v="24-avr"/>
          <s v="25-avr"/>
          <s v="26-avr"/>
          <s v="27-avr"/>
          <s v="28-avr"/>
          <s v="29-avr"/>
          <s v="30-avr"/>
          <s v="01-mai"/>
          <s v="02-mai"/>
          <s v="03-mai"/>
          <s v="04-mai"/>
          <s v="05-mai"/>
          <s v="06-mai"/>
          <s v="07-mai"/>
          <s v="08-mai"/>
          <s v="09-mai"/>
          <s v="10-mai"/>
          <s v="11-mai"/>
          <s v="12-mai"/>
          <s v="13-mai"/>
          <s v="14-mai"/>
          <s v="15-mai"/>
          <s v="16-mai"/>
          <s v="17-mai"/>
          <s v="18-mai"/>
          <s v="19-mai"/>
          <s v="20-mai"/>
          <s v="21-mai"/>
          <s v="22-mai"/>
          <s v="23-mai"/>
          <s v="24-mai"/>
          <s v="25-mai"/>
          <s v="26-mai"/>
          <s v="27-mai"/>
          <s v="28-mai"/>
          <s v="29-mai"/>
          <s v="30-mai"/>
          <s v="31-mai"/>
          <s v="01-juin"/>
          <s v="02-juin"/>
          <s v="03-juin"/>
          <s v="04-juin"/>
          <s v="05-juin"/>
          <s v="06-juin"/>
          <s v="07-juin"/>
          <s v="08-juin"/>
          <s v="09-juin"/>
          <s v="10-juin"/>
          <s v="11-juin"/>
          <s v="12-juin"/>
          <s v="13-juin"/>
          <s v="14-juin"/>
          <s v="15-juin"/>
          <s v="16-juin"/>
          <s v="17-juin"/>
          <s v="18-juin"/>
          <s v="19-juin"/>
          <s v="20-juin"/>
          <s v="21-juin"/>
          <s v="22-juin"/>
          <s v="23-juin"/>
          <s v="24-juin"/>
          <s v="25-juin"/>
          <s v="26-juin"/>
          <s v="27-juin"/>
          <s v="28-juin"/>
          <s v="29-juin"/>
          <s v="30-juin"/>
          <s v="01-juil"/>
          <s v="02-juil"/>
          <s v="03-juil"/>
          <s v="04-juil"/>
          <s v="05-juil"/>
          <s v="06-juil"/>
          <s v="07-juil"/>
          <s v="08-juil"/>
          <s v="09-juil"/>
          <s v="10-juil"/>
          <s v="11-juil"/>
          <s v="12-juil"/>
          <s v="13-juil"/>
          <s v="14-juil"/>
          <s v="15-juil"/>
          <s v="16-juil"/>
          <s v="17-juil"/>
          <s v="18-juil"/>
          <s v="19-juil"/>
          <s v="20-juil"/>
          <s v="21-juil"/>
          <s v="22-juil"/>
          <s v="23-juil"/>
          <s v="24-juil"/>
          <s v="25-juil"/>
          <s v="26-juil"/>
          <s v="27-juil"/>
          <s v="28-juil"/>
          <s v="29-juil"/>
          <s v="30-juil"/>
          <s v="31-juil"/>
          <s v="01-août"/>
          <s v="02-août"/>
          <s v="03-août"/>
          <s v="04-août"/>
          <s v="05-août"/>
          <s v="06-août"/>
          <s v="07-août"/>
          <s v="08-août"/>
          <s v="09-août"/>
          <s v="10-août"/>
          <s v="11-août"/>
          <s v="12-août"/>
          <s v="13-août"/>
          <s v="14-août"/>
          <s v="15-août"/>
          <s v="16-août"/>
          <s v="17-août"/>
          <s v="18-août"/>
          <s v="19-août"/>
          <s v="20-août"/>
          <s v="21-août"/>
          <s v="22-août"/>
          <s v="23-août"/>
          <s v="24-août"/>
          <s v="25-août"/>
          <s v="26-août"/>
          <s v="27-août"/>
          <s v="28-août"/>
          <s v="29-août"/>
          <s v="30-août"/>
          <s v="31-août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éc"/>
          <s v="02-déc"/>
          <s v="03-déc"/>
          <s v="04-déc"/>
          <s v="05-déc"/>
          <s v="06-déc"/>
          <s v="07-déc"/>
          <s v="08-déc"/>
          <s v="09-déc"/>
          <s v="10-déc"/>
          <s v="11-déc"/>
          <s v="12-déc"/>
          <s v="13-déc"/>
          <s v="14-déc"/>
          <s v="15-déc"/>
          <s v="16-déc"/>
          <s v="17-déc"/>
          <s v="18-déc"/>
          <s v="19-déc"/>
          <s v="20-déc"/>
          <s v="21-déc"/>
          <s v="22-déc"/>
          <s v="23-déc"/>
          <s v="24-déc"/>
          <s v="25-déc"/>
          <s v="26-déc"/>
          <s v="27-déc"/>
          <s v="28-déc"/>
          <s v="29-déc"/>
          <s v="30-déc"/>
          <s v="31-déc"/>
          <s v="&gt;24/12/2024"/>
        </groupItems>
      </fieldGroup>
    </cacheField>
    <cacheField name="Mois (Date de Début de Fonctionnement)" numFmtId="0" databaseField="0">
      <fieldGroup base="0">
        <rangePr groupBy="months" startDate="2024-01-01T00:00:00" endDate="2024-12-24T00:00:00"/>
        <groupItems count="14">
          <s v="&lt;01/01/2024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24/12/2024"/>
        </groupItems>
      </fieldGroup>
    </cacheField>
    <cacheField name="temps moyen" numFmtId="0" formula="'Durée de Fonctionnement (heures)' /'Nombre de Panne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">
  <r>
    <x v="0"/>
    <d v="2024-01-09T00:00:00"/>
    <n v="192"/>
    <n v="1"/>
  </r>
  <r>
    <x v="1"/>
    <d v="2024-01-15T00:00:00"/>
    <n v="120"/>
    <n v="3"/>
  </r>
  <r>
    <x v="2"/>
    <d v="2024-01-19T00:00:00"/>
    <n v="72"/>
    <n v="2"/>
  </r>
  <r>
    <x v="3"/>
    <d v="2024-01-24T00:00:00"/>
    <n v="96"/>
    <n v="2"/>
  </r>
  <r>
    <x v="4"/>
    <d v="2024-01-30T00:00:00"/>
    <n v="120"/>
    <n v="4"/>
  </r>
  <r>
    <x v="5"/>
    <d v="2024-02-01T00:00:00"/>
    <n v="24"/>
    <n v="1"/>
  </r>
  <r>
    <x v="6"/>
    <d v="2024-02-05T00:00:00"/>
    <n v="72"/>
    <n v="1"/>
  </r>
  <r>
    <x v="7"/>
    <d v="2024-02-16T00:00:00"/>
    <n v="240"/>
    <n v="8"/>
  </r>
  <r>
    <x v="8"/>
    <d v="2024-02-27T00:00:00"/>
    <n v="240"/>
    <n v="2"/>
  </r>
  <r>
    <x v="9"/>
    <d v="2024-03-01T00:00:00"/>
    <n v="48"/>
    <n v="2"/>
  </r>
  <r>
    <x v="10"/>
    <d v="2024-03-07T00:00:00"/>
    <n v="120"/>
    <n v="3"/>
  </r>
  <r>
    <x v="11"/>
    <d v="2024-03-09T00:00:00"/>
    <n v="24"/>
    <n v="1"/>
  </r>
  <r>
    <x v="12"/>
    <d v="2024-03-13T00:00:00"/>
    <n v="72"/>
    <n v="3"/>
  </r>
  <r>
    <x v="13"/>
    <d v="2024-03-17T00:00:00"/>
    <n v="72"/>
    <n v="3"/>
  </r>
  <r>
    <x v="14"/>
    <d v="2024-03-20T00:00:00"/>
    <n v="48"/>
    <n v="2"/>
  </r>
  <r>
    <x v="15"/>
    <d v="2024-03-22T00:00:00"/>
    <n v="24"/>
    <n v="1"/>
  </r>
  <r>
    <x v="16"/>
    <d v="2024-03-30T00:00:00"/>
    <n v="168"/>
    <n v="5"/>
  </r>
  <r>
    <x v="17"/>
    <d v="2024-04-03T00:00:00"/>
    <n v="72"/>
    <n v="2"/>
  </r>
  <r>
    <x v="18"/>
    <d v="2024-04-11T00:00:00"/>
    <n v="168"/>
    <n v="1"/>
  </r>
  <r>
    <x v="19"/>
    <d v="2024-04-18T00:00:00"/>
    <n v="144"/>
    <n v="7"/>
  </r>
  <r>
    <x v="20"/>
    <d v="2024-04-26T00:00:00"/>
    <n v="168"/>
    <n v="7"/>
  </r>
  <r>
    <x v="21"/>
    <d v="2024-05-06T00:00:00"/>
    <n v="216"/>
    <n v="1"/>
  </r>
  <r>
    <x v="22"/>
    <d v="2024-05-15T00:00:00"/>
    <n v="192"/>
    <n v="4"/>
  </r>
  <r>
    <x v="23"/>
    <d v="2024-05-26T00:00:00"/>
    <n v="240"/>
    <n v="4"/>
  </r>
  <r>
    <x v="24"/>
    <d v="2024-05-28T00:00:00"/>
    <n v="24"/>
    <n v="1"/>
  </r>
  <r>
    <x v="25"/>
    <d v="2024-06-03T00:00:00"/>
    <n v="120"/>
    <n v="4"/>
  </r>
  <r>
    <x v="26"/>
    <d v="2024-06-14T00:00:00"/>
    <n v="240"/>
    <n v="5"/>
  </r>
  <r>
    <x v="27"/>
    <d v="2024-06-17T00:00:00"/>
    <n v="48"/>
    <n v="1"/>
  </r>
  <r>
    <x v="28"/>
    <d v="2024-06-20T00:00:00"/>
    <n v="48"/>
    <n v="2"/>
  </r>
  <r>
    <x v="29"/>
    <d v="2024-06-23T00:00:00"/>
    <n v="48"/>
    <n v="1"/>
  </r>
  <r>
    <x v="30"/>
    <d v="2024-06-28T00:00:00"/>
    <n v="96"/>
    <n v="3"/>
  </r>
  <r>
    <x v="31"/>
    <d v="2024-06-30T00:00:00"/>
    <n v="24"/>
    <n v="1"/>
  </r>
  <r>
    <x v="32"/>
    <d v="2024-07-10T00:00:00"/>
    <n v="216"/>
    <n v="9"/>
  </r>
  <r>
    <x v="33"/>
    <d v="2024-07-19T00:00:00"/>
    <n v="192"/>
    <n v="9"/>
  </r>
  <r>
    <x v="34"/>
    <d v="2024-07-27T00:00:00"/>
    <n v="168"/>
    <n v="3"/>
  </r>
  <r>
    <x v="35"/>
    <d v="2024-08-03T00:00:00"/>
    <n v="144"/>
    <n v="6"/>
  </r>
  <r>
    <x v="36"/>
    <d v="2024-08-11T00:00:00"/>
    <n v="168"/>
    <n v="5"/>
  </r>
  <r>
    <x v="37"/>
    <d v="2024-08-20T00:00:00"/>
    <n v="192"/>
    <n v="7"/>
  </r>
  <r>
    <x v="38"/>
    <d v="2024-08-27T00:00:00"/>
    <n v="144"/>
    <n v="6"/>
  </r>
  <r>
    <x v="39"/>
    <d v="2024-08-29T00:00:00"/>
    <n v="24"/>
    <n v="1"/>
  </r>
  <r>
    <x v="40"/>
    <d v="2024-09-02T00:00:00"/>
    <n v="72"/>
    <n v="1"/>
  </r>
  <r>
    <x v="41"/>
    <d v="2024-09-12T00:00:00"/>
    <n v="216"/>
    <n v="8"/>
  </r>
  <r>
    <x v="42"/>
    <d v="2024-09-20T00:00:00"/>
    <n v="168"/>
    <n v="5"/>
  </r>
  <r>
    <x v="43"/>
    <d v="2024-09-25T00:00:00"/>
    <n v="96"/>
    <n v="1"/>
  </r>
  <r>
    <x v="44"/>
    <d v="2024-10-01T00:00:00"/>
    <n v="120"/>
    <n v="1"/>
  </r>
  <r>
    <x v="45"/>
    <d v="2024-10-12T00:00:00"/>
    <n v="240"/>
    <n v="4"/>
  </r>
  <r>
    <x v="46"/>
    <d v="2024-10-18T00:00:00"/>
    <n v="120"/>
    <n v="2"/>
  </r>
  <r>
    <x v="47"/>
    <d v="2024-10-23T00:00:00"/>
    <n v="96"/>
    <n v="2"/>
  </r>
  <r>
    <x v="48"/>
    <d v="2024-10-29T00:00:00"/>
    <n v="120"/>
    <n v="2"/>
  </r>
  <r>
    <x v="49"/>
    <d v="2024-10-31T00:00:00"/>
    <n v="24"/>
    <n v="1"/>
  </r>
  <r>
    <x v="50"/>
    <d v="2024-11-11T00:00:00"/>
    <n v="240"/>
    <n v="6"/>
  </r>
  <r>
    <x v="51"/>
    <d v="2024-11-18T00:00:00"/>
    <n v="144"/>
    <n v="1"/>
  </r>
  <r>
    <x v="52"/>
    <d v="2024-11-23T00:00:00"/>
    <n v="96"/>
    <n v="1"/>
  </r>
  <r>
    <x v="53"/>
    <d v="2024-12-03T00:00:00"/>
    <n v="216"/>
    <n v="10"/>
  </r>
  <r>
    <x v="54"/>
    <d v="2024-12-14T00:00:00"/>
    <n v="240"/>
    <n v="1"/>
  </r>
  <r>
    <x v="55"/>
    <d v="2024-12-22T00:00:00"/>
    <n v="168"/>
    <n v="4"/>
  </r>
  <r>
    <x v="56"/>
    <d v="2024-12-31T00:00:00"/>
    <n v="192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83AFF4-F313-4E7C-8CD1-E59D967CF5B8}" name="Tableau croisé dynamique1" cacheId="1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D16" firstHeaderRow="0" firstDataRow="1" firstDataCol="1"/>
  <pivotFields count="7">
    <pivotField axis="axisRow" numFmtId="14" showAll="0">
      <items count="5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t="default"/>
      </items>
    </pivotField>
    <pivotField numFmtId="14" showAll="0"/>
    <pivotField dataField="1" showAll="0"/>
    <pivotField dataField="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dataField="1" dragToRow="0" dragToCol="0" dragToPage="0" showAll="0" defaultSubtotal="0"/>
  </pivotFields>
  <rowFields count="3">
    <field x="5"/>
    <field x="4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Fonctionnement total" fld="2" baseField="5" baseItem="1"/>
    <dataField name="Total de pannes " fld="3" baseField="5" baseItem="1"/>
    <dataField name="Temps moyen entre pannes" fld="6" baseField="5" baseItem="1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13F67-68B6-478E-94B4-96B05D34FD92}">
  <dimension ref="A3:D16"/>
  <sheetViews>
    <sheetView tabSelected="1" workbookViewId="0">
      <selection activeCell="D3" sqref="D3"/>
    </sheetView>
  </sheetViews>
  <sheetFormatPr baseColWidth="10" defaultRowHeight="14.4" x14ac:dyDescent="0.3"/>
  <cols>
    <col min="1" max="1" width="19.5546875" bestFit="1" customWidth="1"/>
    <col min="2" max="2" width="19.33203125" bestFit="1" customWidth="1"/>
    <col min="3" max="3" width="14.77734375" bestFit="1" customWidth="1"/>
    <col min="4" max="4" width="24.5546875" bestFit="1" customWidth="1"/>
  </cols>
  <sheetData>
    <row r="3" spans="1:4" x14ac:dyDescent="0.3">
      <c r="A3" s="25" t="s">
        <v>38</v>
      </c>
      <c r="B3" t="s">
        <v>53</v>
      </c>
      <c r="C3" t="s">
        <v>52</v>
      </c>
      <c r="D3" t="s">
        <v>27</v>
      </c>
    </row>
    <row r="4" spans="1:4" x14ac:dyDescent="0.3">
      <c r="A4" s="26" t="s">
        <v>40</v>
      </c>
      <c r="B4" s="27">
        <v>624</v>
      </c>
      <c r="C4" s="27">
        <v>13</v>
      </c>
      <c r="D4" s="28">
        <v>48</v>
      </c>
    </row>
    <row r="5" spans="1:4" x14ac:dyDescent="0.3">
      <c r="A5" s="26" t="s">
        <v>41</v>
      </c>
      <c r="B5" s="27">
        <v>600</v>
      </c>
      <c r="C5" s="27">
        <v>13</v>
      </c>
      <c r="D5" s="28">
        <v>46.153846153846153</v>
      </c>
    </row>
    <row r="6" spans="1:4" x14ac:dyDescent="0.3">
      <c r="A6" s="26" t="s">
        <v>42</v>
      </c>
      <c r="B6" s="27">
        <v>600</v>
      </c>
      <c r="C6" s="27">
        <v>20</v>
      </c>
      <c r="D6" s="28">
        <v>30</v>
      </c>
    </row>
    <row r="7" spans="1:4" x14ac:dyDescent="0.3">
      <c r="A7" s="26" t="s">
        <v>43</v>
      </c>
      <c r="B7" s="27">
        <v>696</v>
      </c>
      <c r="C7" s="27">
        <v>16</v>
      </c>
      <c r="D7" s="28">
        <v>43.5</v>
      </c>
    </row>
    <row r="8" spans="1:4" x14ac:dyDescent="0.3">
      <c r="A8" s="26" t="s">
        <v>44</v>
      </c>
      <c r="B8" s="27">
        <v>576</v>
      </c>
      <c r="C8" s="27">
        <v>13</v>
      </c>
      <c r="D8" s="28">
        <v>44.307692307692307</v>
      </c>
    </row>
    <row r="9" spans="1:4" x14ac:dyDescent="0.3">
      <c r="A9" s="26" t="s">
        <v>45</v>
      </c>
      <c r="B9" s="27">
        <v>504</v>
      </c>
      <c r="C9" s="27">
        <v>13</v>
      </c>
      <c r="D9" s="28">
        <v>38.769230769230766</v>
      </c>
    </row>
    <row r="10" spans="1:4" x14ac:dyDescent="0.3">
      <c r="A10" s="26" t="s">
        <v>46</v>
      </c>
      <c r="B10" s="27">
        <v>720</v>
      </c>
      <c r="C10" s="27">
        <v>27</v>
      </c>
      <c r="D10" s="28">
        <v>26.666666666666668</v>
      </c>
    </row>
    <row r="11" spans="1:4" x14ac:dyDescent="0.3">
      <c r="A11" s="26" t="s">
        <v>47</v>
      </c>
      <c r="B11" s="27">
        <v>600</v>
      </c>
      <c r="C11" s="27">
        <v>20</v>
      </c>
      <c r="D11" s="28">
        <v>30</v>
      </c>
    </row>
    <row r="12" spans="1:4" x14ac:dyDescent="0.3">
      <c r="A12" s="26" t="s">
        <v>48</v>
      </c>
      <c r="B12" s="27">
        <v>600</v>
      </c>
      <c r="C12" s="27">
        <v>15</v>
      </c>
      <c r="D12" s="28">
        <v>40</v>
      </c>
    </row>
    <row r="13" spans="1:4" x14ac:dyDescent="0.3">
      <c r="A13" s="26" t="s">
        <v>49</v>
      </c>
      <c r="B13" s="27">
        <v>600</v>
      </c>
      <c r="C13" s="27">
        <v>11</v>
      </c>
      <c r="D13" s="28">
        <v>54.545454545454547</v>
      </c>
    </row>
    <row r="14" spans="1:4" x14ac:dyDescent="0.3">
      <c r="A14" s="26" t="s">
        <v>50</v>
      </c>
      <c r="B14" s="27">
        <v>696</v>
      </c>
      <c r="C14" s="27">
        <v>18</v>
      </c>
      <c r="D14" s="28">
        <v>38.666666666666664</v>
      </c>
    </row>
    <row r="15" spans="1:4" x14ac:dyDescent="0.3">
      <c r="A15" s="26" t="s">
        <v>51</v>
      </c>
      <c r="B15" s="27">
        <v>600</v>
      </c>
      <c r="C15" s="27">
        <v>7</v>
      </c>
      <c r="D15" s="28">
        <v>85.714285714285708</v>
      </c>
    </row>
    <row r="16" spans="1:4" x14ac:dyDescent="0.3">
      <c r="A16" s="26" t="s">
        <v>39</v>
      </c>
      <c r="B16" s="27">
        <v>7416</v>
      </c>
      <c r="C16" s="27">
        <v>186</v>
      </c>
      <c r="D16" s="28">
        <v>39.87096774193548</v>
      </c>
    </row>
  </sheetData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2"/>
  <sheetViews>
    <sheetView topLeftCell="A4" workbookViewId="0">
      <selection activeCell="B23" sqref="B23"/>
    </sheetView>
  </sheetViews>
  <sheetFormatPr baseColWidth="10" defaultColWidth="8.88671875" defaultRowHeight="14.4" x14ac:dyDescent="0.3"/>
  <cols>
    <col min="1" max="1" width="30.33203125" bestFit="1" customWidth="1"/>
    <col min="2" max="2" width="27.5546875" bestFit="1" customWidth="1"/>
    <col min="3" max="3" width="30.6640625" bestFit="1" customWidth="1"/>
    <col min="4" max="4" width="17.109375" bestFit="1" customWidth="1"/>
    <col min="6" max="6" width="36.33203125" bestFit="1" customWidth="1"/>
  </cols>
  <sheetData>
    <row r="1" spans="1:8" ht="21" x14ac:dyDescent="0.4">
      <c r="A1" s="24" t="s">
        <v>27</v>
      </c>
      <c r="B1" s="24"/>
      <c r="C1" s="24"/>
      <c r="D1" s="24"/>
    </row>
    <row r="4" spans="1:8" s="20" customFormat="1" x14ac:dyDescent="0.3">
      <c r="A4" s="19" t="s">
        <v>0</v>
      </c>
      <c r="B4" s="19" t="s">
        <v>1</v>
      </c>
      <c r="C4" s="19" t="s">
        <v>2</v>
      </c>
      <c r="D4" s="19" t="s">
        <v>3</v>
      </c>
    </row>
    <row r="5" spans="1:8" x14ac:dyDescent="0.3">
      <c r="A5" s="1">
        <v>45292</v>
      </c>
      <c r="B5" s="1">
        <v>45300</v>
      </c>
      <c r="C5">
        <f>(B5-A5)*24</f>
        <v>192</v>
      </c>
      <c r="D5">
        <v>1</v>
      </c>
    </row>
    <row r="6" spans="1:8" x14ac:dyDescent="0.3">
      <c r="A6" s="1">
        <v>45301</v>
      </c>
      <c r="B6" s="1">
        <v>45306</v>
      </c>
      <c r="C6">
        <f t="shared" ref="C6:C61" si="0">(B6-A6)*24</f>
        <v>120</v>
      </c>
      <c r="D6">
        <v>3</v>
      </c>
      <c r="F6" t="s">
        <v>4</v>
      </c>
    </row>
    <row r="7" spans="1:8" x14ac:dyDescent="0.3">
      <c r="A7" s="1">
        <v>45307</v>
      </c>
      <c r="B7" s="1">
        <v>45310</v>
      </c>
      <c r="C7">
        <f t="shared" si="0"/>
        <v>72</v>
      </c>
      <c r="D7">
        <v>2</v>
      </c>
      <c r="F7" t="s">
        <v>5</v>
      </c>
    </row>
    <row r="8" spans="1:8" x14ac:dyDescent="0.3">
      <c r="A8" s="1">
        <v>45311</v>
      </c>
      <c r="B8" s="1">
        <v>45315</v>
      </c>
      <c r="C8">
        <f t="shared" si="0"/>
        <v>96</v>
      </c>
      <c r="D8">
        <v>2</v>
      </c>
      <c r="F8" t="s">
        <v>6</v>
      </c>
    </row>
    <row r="9" spans="1:8" x14ac:dyDescent="0.3">
      <c r="A9" s="1">
        <v>45316</v>
      </c>
      <c r="B9" s="1">
        <v>45321</v>
      </c>
      <c r="C9">
        <f t="shared" si="0"/>
        <v>120</v>
      </c>
      <c r="D9">
        <v>4</v>
      </c>
    </row>
    <row r="10" spans="1:8" ht="15" thickBot="1" x14ac:dyDescent="0.35">
      <c r="A10" s="1">
        <v>45322</v>
      </c>
      <c r="B10" s="1">
        <v>45323</v>
      </c>
      <c r="C10">
        <f t="shared" si="0"/>
        <v>24</v>
      </c>
      <c r="D10">
        <v>1</v>
      </c>
    </row>
    <row r="11" spans="1:8" x14ac:dyDescent="0.3">
      <c r="A11" s="1">
        <v>45324</v>
      </c>
      <c r="B11" s="1">
        <v>45327</v>
      </c>
      <c r="C11">
        <f t="shared" si="0"/>
        <v>72</v>
      </c>
      <c r="D11">
        <v>1</v>
      </c>
      <c r="F11" s="2" t="s">
        <v>11</v>
      </c>
      <c r="G11" s="3">
        <f>SUM(C5:C61)</f>
        <v>7416</v>
      </c>
      <c r="H11" s="18" t="s">
        <v>28</v>
      </c>
    </row>
    <row r="12" spans="1:8" x14ac:dyDescent="0.3">
      <c r="A12" s="1">
        <v>45328</v>
      </c>
      <c r="B12" s="1">
        <v>45338</v>
      </c>
      <c r="C12">
        <f t="shared" si="0"/>
        <v>240</v>
      </c>
      <c r="D12">
        <v>8</v>
      </c>
      <c r="F12" s="4" t="s">
        <v>7</v>
      </c>
      <c r="G12" s="5">
        <f>SUM(D5:D61)</f>
        <v>186</v>
      </c>
      <c r="H12" s="18" t="s">
        <v>29</v>
      </c>
    </row>
    <row r="13" spans="1:8" ht="15" thickBot="1" x14ac:dyDescent="0.35">
      <c r="A13" s="1">
        <v>45339</v>
      </c>
      <c r="B13" s="1">
        <v>45349</v>
      </c>
      <c r="C13">
        <f t="shared" si="0"/>
        <v>240</v>
      </c>
      <c r="D13">
        <v>2</v>
      </c>
      <c r="F13" s="6" t="s">
        <v>12</v>
      </c>
      <c r="G13" s="7">
        <f>G11/G12</f>
        <v>39.87096774193548</v>
      </c>
      <c r="H13" s="18" t="s">
        <v>30</v>
      </c>
    </row>
    <row r="14" spans="1:8" x14ac:dyDescent="0.3">
      <c r="A14" s="1">
        <v>45350</v>
      </c>
      <c r="B14" s="1">
        <v>45352</v>
      </c>
      <c r="C14">
        <f t="shared" si="0"/>
        <v>48</v>
      </c>
      <c r="D14">
        <v>2</v>
      </c>
    </row>
    <row r="15" spans="1:8" x14ac:dyDescent="0.3">
      <c r="A15" s="1">
        <v>45353</v>
      </c>
      <c r="B15" s="1">
        <v>45358</v>
      </c>
      <c r="C15">
        <f t="shared" si="0"/>
        <v>120</v>
      </c>
      <c r="D15">
        <v>3</v>
      </c>
    </row>
    <row r="16" spans="1:8" x14ac:dyDescent="0.3">
      <c r="A16" s="1">
        <v>45359</v>
      </c>
      <c r="B16" s="1">
        <v>45360</v>
      </c>
      <c r="C16">
        <f t="shared" si="0"/>
        <v>24</v>
      </c>
      <c r="D16">
        <v>1</v>
      </c>
    </row>
    <row r="17" spans="1:4" x14ac:dyDescent="0.3">
      <c r="A17" s="1">
        <v>45361</v>
      </c>
      <c r="B17" s="1">
        <v>45364</v>
      </c>
      <c r="C17">
        <f t="shared" si="0"/>
        <v>72</v>
      </c>
      <c r="D17">
        <v>3</v>
      </c>
    </row>
    <row r="18" spans="1:4" x14ac:dyDescent="0.3">
      <c r="A18" s="1">
        <v>45365</v>
      </c>
      <c r="B18" s="1">
        <v>45368</v>
      </c>
      <c r="C18">
        <f t="shared" si="0"/>
        <v>72</v>
      </c>
      <c r="D18">
        <v>3</v>
      </c>
    </row>
    <row r="19" spans="1:4" x14ac:dyDescent="0.3">
      <c r="A19" s="1">
        <v>45369</v>
      </c>
      <c r="B19" s="1">
        <v>45371</v>
      </c>
      <c r="C19">
        <f t="shared" si="0"/>
        <v>48</v>
      </c>
      <c r="D19">
        <v>2</v>
      </c>
    </row>
    <row r="20" spans="1:4" x14ac:dyDescent="0.3">
      <c r="A20" s="1">
        <v>45372</v>
      </c>
      <c r="B20" s="1">
        <v>45373</v>
      </c>
      <c r="C20">
        <f t="shared" si="0"/>
        <v>24</v>
      </c>
      <c r="D20">
        <v>1</v>
      </c>
    </row>
    <row r="21" spans="1:4" x14ac:dyDescent="0.3">
      <c r="A21" s="1">
        <v>45374</v>
      </c>
      <c r="B21" s="1">
        <v>45381</v>
      </c>
      <c r="C21">
        <f t="shared" si="0"/>
        <v>168</v>
      </c>
      <c r="D21">
        <v>5</v>
      </c>
    </row>
    <row r="22" spans="1:4" x14ac:dyDescent="0.3">
      <c r="A22" s="1">
        <v>45382</v>
      </c>
      <c r="B22" s="1">
        <v>45385</v>
      </c>
      <c r="C22">
        <f t="shared" si="0"/>
        <v>72</v>
      </c>
      <c r="D22">
        <v>2</v>
      </c>
    </row>
    <row r="23" spans="1:4" x14ac:dyDescent="0.3">
      <c r="A23" s="1">
        <v>45386</v>
      </c>
      <c r="B23" s="1">
        <v>45393</v>
      </c>
      <c r="C23">
        <f t="shared" si="0"/>
        <v>168</v>
      </c>
      <c r="D23">
        <v>1</v>
      </c>
    </row>
    <row r="24" spans="1:4" x14ac:dyDescent="0.3">
      <c r="A24" s="1">
        <v>45394</v>
      </c>
      <c r="B24" s="1">
        <v>45400</v>
      </c>
      <c r="C24">
        <f t="shared" si="0"/>
        <v>144</v>
      </c>
      <c r="D24">
        <v>7</v>
      </c>
    </row>
    <row r="25" spans="1:4" x14ac:dyDescent="0.3">
      <c r="A25" s="1">
        <v>45401</v>
      </c>
      <c r="B25" s="1">
        <v>45408</v>
      </c>
      <c r="C25">
        <f t="shared" si="0"/>
        <v>168</v>
      </c>
      <c r="D25">
        <v>7</v>
      </c>
    </row>
    <row r="26" spans="1:4" x14ac:dyDescent="0.3">
      <c r="A26" s="1">
        <v>45409</v>
      </c>
      <c r="B26" s="1">
        <v>45418</v>
      </c>
      <c r="C26">
        <f t="shared" si="0"/>
        <v>216</v>
      </c>
      <c r="D26">
        <v>1</v>
      </c>
    </row>
    <row r="27" spans="1:4" x14ac:dyDescent="0.3">
      <c r="A27" s="1">
        <v>45419</v>
      </c>
      <c r="B27" s="1">
        <v>45427</v>
      </c>
      <c r="C27">
        <f t="shared" si="0"/>
        <v>192</v>
      </c>
      <c r="D27">
        <v>4</v>
      </c>
    </row>
    <row r="28" spans="1:4" x14ac:dyDescent="0.3">
      <c r="A28" s="1">
        <v>45428</v>
      </c>
      <c r="B28" s="1">
        <v>45438</v>
      </c>
      <c r="C28">
        <f t="shared" si="0"/>
        <v>240</v>
      </c>
      <c r="D28">
        <v>4</v>
      </c>
    </row>
    <row r="29" spans="1:4" x14ac:dyDescent="0.3">
      <c r="A29" s="1">
        <v>45439</v>
      </c>
      <c r="B29" s="1">
        <v>45440</v>
      </c>
      <c r="C29">
        <f t="shared" si="0"/>
        <v>24</v>
      </c>
      <c r="D29">
        <v>1</v>
      </c>
    </row>
    <row r="30" spans="1:4" x14ac:dyDescent="0.3">
      <c r="A30" s="1">
        <v>45441</v>
      </c>
      <c r="B30" s="1">
        <v>45446</v>
      </c>
      <c r="C30">
        <f t="shared" si="0"/>
        <v>120</v>
      </c>
      <c r="D30">
        <v>4</v>
      </c>
    </row>
    <row r="31" spans="1:4" x14ac:dyDescent="0.3">
      <c r="A31" s="1">
        <v>45447</v>
      </c>
      <c r="B31" s="1">
        <v>45457</v>
      </c>
      <c r="C31">
        <f t="shared" si="0"/>
        <v>240</v>
      </c>
      <c r="D31">
        <v>5</v>
      </c>
    </row>
    <row r="32" spans="1:4" x14ac:dyDescent="0.3">
      <c r="A32" s="1">
        <v>45458</v>
      </c>
      <c r="B32" s="1">
        <v>45460</v>
      </c>
      <c r="C32">
        <f t="shared" si="0"/>
        <v>48</v>
      </c>
      <c r="D32">
        <v>1</v>
      </c>
    </row>
    <row r="33" spans="1:4" x14ac:dyDescent="0.3">
      <c r="A33" s="1">
        <v>45461</v>
      </c>
      <c r="B33" s="1">
        <v>45463</v>
      </c>
      <c r="C33">
        <f t="shared" si="0"/>
        <v>48</v>
      </c>
      <c r="D33">
        <v>2</v>
      </c>
    </row>
    <row r="34" spans="1:4" x14ac:dyDescent="0.3">
      <c r="A34" s="1">
        <v>45464</v>
      </c>
      <c r="B34" s="1">
        <v>45466</v>
      </c>
      <c r="C34">
        <f t="shared" si="0"/>
        <v>48</v>
      </c>
      <c r="D34">
        <v>1</v>
      </c>
    </row>
    <row r="35" spans="1:4" x14ac:dyDescent="0.3">
      <c r="A35" s="1">
        <v>45467</v>
      </c>
      <c r="B35" s="1">
        <v>45471</v>
      </c>
      <c r="C35">
        <f t="shared" si="0"/>
        <v>96</v>
      </c>
      <c r="D35">
        <v>3</v>
      </c>
    </row>
    <row r="36" spans="1:4" x14ac:dyDescent="0.3">
      <c r="A36" s="1">
        <v>45472</v>
      </c>
      <c r="B36" s="1">
        <v>45473</v>
      </c>
      <c r="C36">
        <f t="shared" si="0"/>
        <v>24</v>
      </c>
      <c r="D36">
        <v>1</v>
      </c>
    </row>
    <row r="37" spans="1:4" x14ac:dyDescent="0.3">
      <c r="A37" s="1">
        <v>45474</v>
      </c>
      <c r="B37" s="1">
        <v>45483</v>
      </c>
      <c r="C37">
        <f t="shared" si="0"/>
        <v>216</v>
      </c>
      <c r="D37">
        <v>9</v>
      </c>
    </row>
    <row r="38" spans="1:4" x14ac:dyDescent="0.3">
      <c r="A38" s="1">
        <v>45484</v>
      </c>
      <c r="B38" s="1">
        <v>45492</v>
      </c>
      <c r="C38">
        <f t="shared" si="0"/>
        <v>192</v>
      </c>
      <c r="D38">
        <v>9</v>
      </c>
    </row>
    <row r="39" spans="1:4" x14ac:dyDescent="0.3">
      <c r="A39" s="1">
        <v>45493</v>
      </c>
      <c r="B39" s="1">
        <v>45500</v>
      </c>
      <c r="C39">
        <f t="shared" si="0"/>
        <v>168</v>
      </c>
      <c r="D39">
        <v>3</v>
      </c>
    </row>
    <row r="40" spans="1:4" x14ac:dyDescent="0.3">
      <c r="A40" s="1">
        <v>45501</v>
      </c>
      <c r="B40" s="1">
        <v>45507</v>
      </c>
      <c r="C40">
        <f t="shared" si="0"/>
        <v>144</v>
      </c>
      <c r="D40">
        <v>6</v>
      </c>
    </row>
    <row r="41" spans="1:4" x14ac:dyDescent="0.3">
      <c r="A41" s="1">
        <v>45508</v>
      </c>
      <c r="B41" s="1">
        <v>45515</v>
      </c>
      <c r="C41">
        <f t="shared" si="0"/>
        <v>168</v>
      </c>
      <c r="D41">
        <v>5</v>
      </c>
    </row>
    <row r="42" spans="1:4" x14ac:dyDescent="0.3">
      <c r="A42" s="1">
        <v>45516</v>
      </c>
      <c r="B42" s="1">
        <v>45524</v>
      </c>
      <c r="C42">
        <f t="shared" si="0"/>
        <v>192</v>
      </c>
      <c r="D42">
        <v>7</v>
      </c>
    </row>
    <row r="43" spans="1:4" x14ac:dyDescent="0.3">
      <c r="A43" s="1">
        <v>45525</v>
      </c>
      <c r="B43" s="1">
        <v>45531</v>
      </c>
      <c r="C43">
        <f t="shared" si="0"/>
        <v>144</v>
      </c>
      <c r="D43">
        <v>6</v>
      </c>
    </row>
    <row r="44" spans="1:4" x14ac:dyDescent="0.3">
      <c r="A44" s="1">
        <v>45532</v>
      </c>
      <c r="B44" s="1">
        <v>45533</v>
      </c>
      <c r="C44">
        <f t="shared" si="0"/>
        <v>24</v>
      </c>
      <c r="D44">
        <v>1</v>
      </c>
    </row>
    <row r="45" spans="1:4" x14ac:dyDescent="0.3">
      <c r="A45" s="1">
        <v>45534</v>
      </c>
      <c r="B45" s="1">
        <v>45537</v>
      </c>
      <c r="C45">
        <f t="shared" si="0"/>
        <v>72</v>
      </c>
      <c r="D45">
        <v>1</v>
      </c>
    </row>
    <row r="46" spans="1:4" x14ac:dyDescent="0.3">
      <c r="A46" s="1">
        <v>45538</v>
      </c>
      <c r="B46" s="1">
        <v>45547</v>
      </c>
      <c r="C46">
        <f t="shared" si="0"/>
        <v>216</v>
      </c>
      <c r="D46">
        <v>8</v>
      </c>
    </row>
    <row r="47" spans="1:4" x14ac:dyDescent="0.3">
      <c r="A47" s="1">
        <v>45548</v>
      </c>
      <c r="B47" s="1">
        <v>45555</v>
      </c>
      <c r="C47">
        <f t="shared" si="0"/>
        <v>168</v>
      </c>
      <c r="D47">
        <v>5</v>
      </c>
    </row>
    <row r="48" spans="1:4" x14ac:dyDescent="0.3">
      <c r="A48" s="1">
        <v>45556</v>
      </c>
      <c r="B48" s="1">
        <v>45560</v>
      </c>
      <c r="C48">
        <f t="shared" si="0"/>
        <v>96</v>
      </c>
      <c r="D48">
        <v>1</v>
      </c>
    </row>
    <row r="49" spans="1:4" x14ac:dyDescent="0.3">
      <c r="A49" s="1">
        <v>45561</v>
      </c>
      <c r="B49" s="1">
        <v>45566</v>
      </c>
      <c r="C49">
        <f t="shared" si="0"/>
        <v>120</v>
      </c>
      <c r="D49">
        <v>1</v>
      </c>
    </row>
    <row r="50" spans="1:4" x14ac:dyDescent="0.3">
      <c r="A50" s="1">
        <v>45567</v>
      </c>
      <c r="B50" s="1">
        <v>45577</v>
      </c>
      <c r="C50">
        <f t="shared" si="0"/>
        <v>240</v>
      </c>
      <c r="D50">
        <v>4</v>
      </c>
    </row>
    <row r="51" spans="1:4" x14ac:dyDescent="0.3">
      <c r="A51" s="1">
        <v>45578</v>
      </c>
      <c r="B51" s="1">
        <v>45583</v>
      </c>
      <c r="C51">
        <f t="shared" si="0"/>
        <v>120</v>
      </c>
      <c r="D51">
        <v>2</v>
      </c>
    </row>
    <row r="52" spans="1:4" x14ac:dyDescent="0.3">
      <c r="A52" s="1">
        <v>45584</v>
      </c>
      <c r="B52" s="1">
        <v>45588</v>
      </c>
      <c r="C52">
        <f t="shared" si="0"/>
        <v>96</v>
      </c>
      <c r="D52">
        <v>2</v>
      </c>
    </row>
    <row r="53" spans="1:4" x14ac:dyDescent="0.3">
      <c r="A53" s="1">
        <v>45589</v>
      </c>
      <c r="B53" s="1">
        <v>45594</v>
      </c>
      <c r="C53">
        <f t="shared" si="0"/>
        <v>120</v>
      </c>
      <c r="D53">
        <v>2</v>
      </c>
    </row>
    <row r="54" spans="1:4" x14ac:dyDescent="0.3">
      <c r="A54" s="1">
        <v>45595</v>
      </c>
      <c r="B54" s="1">
        <v>45596</v>
      </c>
      <c r="C54">
        <f t="shared" si="0"/>
        <v>24</v>
      </c>
      <c r="D54">
        <v>1</v>
      </c>
    </row>
    <row r="55" spans="1:4" x14ac:dyDescent="0.3">
      <c r="A55" s="1">
        <v>45597</v>
      </c>
      <c r="B55" s="1">
        <v>45607</v>
      </c>
      <c r="C55">
        <f t="shared" si="0"/>
        <v>240</v>
      </c>
      <c r="D55">
        <v>6</v>
      </c>
    </row>
    <row r="56" spans="1:4" x14ac:dyDescent="0.3">
      <c r="A56" s="1">
        <v>45608</v>
      </c>
      <c r="B56" s="1">
        <v>45614</v>
      </c>
      <c r="C56">
        <f t="shared" si="0"/>
        <v>144</v>
      </c>
      <c r="D56">
        <v>1</v>
      </c>
    </row>
    <row r="57" spans="1:4" x14ac:dyDescent="0.3">
      <c r="A57" s="1">
        <v>45615</v>
      </c>
      <c r="B57" s="1">
        <v>45619</v>
      </c>
      <c r="C57">
        <f t="shared" si="0"/>
        <v>96</v>
      </c>
      <c r="D57">
        <v>1</v>
      </c>
    </row>
    <row r="58" spans="1:4" x14ac:dyDescent="0.3">
      <c r="A58" s="1">
        <v>45620</v>
      </c>
      <c r="B58" s="1">
        <v>45629</v>
      </c>
      <c r="C58">
        <f t="shared" si="0"/>
        <v>216</v>
      </c>
      <c r="D58">
        <v>10</v>
      </c>
    </row>
    <row r="59" spans="1:4" x14ac:dyDescent="0.3">
      <c r="A59" s="1">
        <v>45630</v>
      </c>
      <c r="B59" s="1">
        <v>45640</v>
      </c>
      <c r="C59">
        <f t="shared" si="0"/>
        <v>240</v>
      </c>
      <c r="D59">
        <v>1</v>
      </c>
    </row>
    <row r="60" spans="1:4" x14ac:dyDescent="0.3">
      <c r="A60" s="1">
        <v>45641</v>
      </c>
      <c r="B60" s="1">
        <v>45648</v>
      </c>
      <c r="C60">
        <f t="shared" si="0"/>
        <v>168</v>
      </c>
      <c r="D60">
        <v>4</v>
      </c>
    </row>
    <row r="61" spans="1:4" x14ac:dyDescent="0.3">
      <c r="A61" s="1">
        <v>45649</v>
      </c>
      <c r="B61" s="1">
        <v>45657</v>
      </c>
      <c r="C61">
        <f t="shared" si="0"/>
        <v>192</v>
      </c>
      <c r="D61">
        <v>2</v>
      </c>
    </row>
    <row r="62" spans="1:4" x14ac:dyDescent="0.3">
      <c r="A62" s="1"/>
      <c r="B62" s="1"/>
    </row>
    <row r="63" spans="1:4" x14ac:dyDescent="0.3">
      <c r="A63" s="1"/>
      <c r="B63" s="1"/>
    </row>
    <row r="64" spans="1:4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  <row r="69" spans="1:2" x14ac:dyDescent="0.3">
      <c r="A69" s="1"/>
      <c r="B69" s="1"/>
    </row>
    <row r="70" spans="1:2" x14ac:dyDescent="0.3">
      <c r="A70" s="1"/>
      <c r="B70" s="1"/>
    </row>
    <row r="71" spans="1:2" x14ac:dyDescent="0.3">
      <c r="A71" s="1"/>
      <c r="B71" s="1"/>
    </row>
    <row r="72" spans="1:2" x14ac:dyDescent="0.3">
      <c r="A72" s="1"/>
      <c r="B72" s="1"/>
    </row>
    <row r="73" spans="1:2" x14ac:dyDescent="0.3">
      <c r="A73" s="1"/>
      <c r="B73" s="1"/>
    </row>
    <row r="74" spans="1:2" x14ac:dyDescent="0.3">
      <c r="A74" s="1"/>
      <c r="B74" s="1"/>
    </row>
    <row r="75" spans="1:2" x14ac:dyDescent="0.3">
      <c r="A75" s="1"/>
      <c r="B75" s="1"/>
    </row>
    <row r="76" spans="1:2" x14ac:dyDescent="0.3">
      <c r="A76" s="1"/>
      <c r="B76" s="1"/>
    </row>
    <row r="77" spans="1:2" x14ac:dyDescent="0.3">
      <c r="A77" s="1"/>
      <c r="B77" s="1"/>
    </row>
    <row r="78" spans="1:2" x14ac:dyDescent="0.3">
      <c r="A78" s="1"/>
      <c r="B78" s="1"/>
    </row>
    <row r="79" spans="1:2" x14ac:dyDescent="0.3">
      <c r="A79" s="1"/>
      <c r="B79" s="1"/>
    </row>
    <row r="80" spans="1:2" x14ac:dyDescent="0.3">
      <c r="A80" s="1"/>
      <c r="B80" s="1"/>
    </row>
    <row r="81" spans="1:2" x14ac:dyDescent="0.3">
      <c r="A81" s="1"/>
      <c r="B81" s="1"/>
    </row>
    <row r="82" spans="1:2" x14ac:dyDescent="0.3">
      <c r="A82" s="1"/>
      <c r="B82" s="1"/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7"/>
  <sheetViews>
    <sheetView workbookViewId="0">
      <selection activeCell="C6" sqref="C6"/>
    </sheetView>
  </sheetViews>
  <sheetFormatPr baseColWidth="10" defaultRowHeight="14.4" x14ac:dyDescent="0.3"/>
  <cols>
    <col min="2" max="2" width="41.5546875" bestFit="1" customWidth="1"/>
  </cols>
  <sheetData>
    <row r="1" spans="1:14" x14ac:dyDescent="0.3">
      <c r="A1" t="s">
        <v>9</v>
      </c>
    </row>
    <row r="2" spans="1:14" ht="15" thickBot="1" x14ac:dyDescent="0.35">
      <c r="A2" t="s">
        <v>8</v>
      </c>
    </row>
    <row r="3" spans="1:14" ht="15" thickBot="1" x14ac:dyDescent="0.35">
      <c r="A3" t="s">
        <v>10</v>
      </c>
      <c r="C3" s="8" t="s">
        <v>13</v>
      </c>
      <c r="D3" s="9" t="s">
        <v>14</v>
      </c>
    </row>
    <row r="4" spans="1:14" x14ac:dyDescent="0.3">
      <c r="B4" s="2" t="s">
        <v>11</v>
      </c>
      <c r="C4" s="11">
        <f>SUMIF(Données!$A$5:$A$61,"&lt;01/07/2024",Données!$C$5:$C$61)</f>
        <v>3600</v>
      </c>
      <c r="D4" s="12">
        <f>SUMIF(Données!$A$5:$A$61,"&gt;=01/07/2024",Données!$C$5:$C$61)</f>
        <v>3816</v>
      </c>
      <c r="E4" s="18" t="s">
        <v>31</v>
      </c>
    </row>
    <row r="5" spans="1:14" x14ac:dyDescent="0.3">
      <c r="B5" s="4" t="s">
        <v>7</v>
      </c>
      <c r="C5" s="13">
        <f>SUMIF(Données!$A$5:$A$61,"&lt;01/07/2024",Données!$D$5:$D$61)</f>
        <v>88</v>
      </c>
      <c r="D5" s="14">
        <f>SUMIF(Données!$A$5:$A$61,"&gt;=01/07/2024",Données!$D$5:$D$61)</f>
        <v>98</v>
      </c>
    </row>
    <row r="6" spans="1:14" ht="15" thickBot="1" x14ac:dyDescent="0.35">
      <c r="B6" s="6" t="s">
        <v>12</v>
      </c>
      <c r="C6" s="15">
        <f>C4/C5</f>
        <v>40.909090909090907</v>
      </c>
      <c r="D6" s="16">
        <f>D4/D5</f>
        <v>38.938775510204081</v>
      </c>
    </row>
    <row r="7" spans="1:14" ht="15" thickBot="1" x14ac:dyDescent="0.35"/>
    <row r="8" spans="1:14" ht="15" thickBot="1" x14ac:dyDescent="0.35">
      <c r="C8" s="10" t="s">
        <v>15</v>
      </c>
      <c r="D8" s="10" t="s">
        <v>16</v>
      </c>
      <c r="E8" s="10" t="s">
        <v>17</v>
      </c>
      <c r="F8" s="10" t="s">
        <v>18</v>
      </c>
      <c r="G8" s="10" t="s">
        <v>19</v>
      </c>
      <c r="H8" s="10" t="s">
        <v>20</v>
      </c>
      <c r="I8" s="10" t="s">
        <v>21</v>
      </c>
      <c r="J8" s="10" t="s">
        <v>22</v>
      </c>
      <c r="K8" s="10" t="s">
        <v>23</v>
      </c>
      <c r="L8" s="10" t="s">
        <v>24</v>
      </c>
      <c r="M8" s="10" t="s">
        <v>25</v>
      </c>
      <c r="N8" s="10" t="s">
        <v>26</v>
      </c>
    </row>
    <row r="9" spans="1:14" ht="15.75" customHeight="1" thickBot="1" x14ac:dyDescent="0.35">
      <c r="C9">
        <v>1</v>
      </c>
      <c r="D9">
        <v>2</v>
      </c>
      <c r="E9">
        <v>3</v>
      </c>
      <c r="F9">
        <v>4</v>
      </c>
      <c r="G9">
        <v>5</v>
      </c>
      <c r="H9">
        <v>6</v>
      </c>
      <c r="I9">
        <v>7</v>
      </c>
      <c r="J9">
        <v>8</v>
      </c>
      <c r="K9">
        <v>9</v>
      </c>
      <c r="L9">
        <v>10</v>
      </c>
      <c r="M9">
        <v>11</v>
      </c>
      <c r="N9">
        <v>12</v>
      </c>
    </row>
    <row r="10" spans="1:14" ht="15.75" customHeight="1" thickBot="1" x14ac:dyDescent="0.35">
      <c r="B10" s="21" t="s">
        <v>32</v>
      </c>
      <c r="C10" s="11">
        <f>SUMIF(Données!$A$5:$A$61,"&lt;01/"&amp;D$9&amp;"/2024",Données!$C$5:$C$61)</f>
        <v>624</v>
      </c>
      <c r="D10" s="11">
        <f>SUMIF(Données!$A$5:$A$61,"&lt;01/"&amp;E$9&amp;"/2024",Données!$C$5:$C$61)</f>
        <v>1224</v>
      </c>
      <c r="E10" s="11">
        <f>SUMIF(Données!$A$5:$A$61,"&lt;01/"&amp;F$9&amp;"/2024",Données!$C$5:$C$61)</f>
        <v>1824</v>
      </c>
      <c r="F10" s="11">
        <f>SUMIF(Données!$A$5:$A$61,"&lt;01/"&amp;G$9&amp;"/2024",Données!$C$5:$C$61)</f>
        <v>2520</v>
      </c>
      <c r="G10" s="11">
        <f>SUMIF(Données!$A$5:$A$61,"&lt;01/"&amp;H$9&amp;"/2024",Données!$C$5:$C$61)</f>
        <v>3096</v>
      </c>
      <c r="H10" s="11">
        <f>SUMIF(Données!$A$5:$A$61,"&lt;01/"&amp;I$9&amp;"/2024",Données!$C$5:$C$61)</f>
        <v>3600</v>
      </c>
      <c r="I10" s="11">
        <f>SUMIF(Données!$A$5:$A$61,"&lt;01/"&amp;J$9&amp;"/2024",Données!$C$5:$C$61)</f>
        <v>4320</v>
      </c>
      <c r="J10" s="11">
        <f>SUMIF(Données!$A$5:$A$61,"&lt;01/"&amp;K$9&amp;"/2024",Données!$C$5:$C$61)</f>
        <v>4920</v>
      </c>
      <c r="K10" s="11">
        <f>SUMIF(Données!$A$5:$A$61,"&lt;01/"&amp;L$9&amp;"/2024",Données!$C$5:$C$61)</f>
        <v>5520</v>
      </c>
      <c r="L10" s="11">
        <f>SUMIF(Données!$A$5:$A$61,"&lt;01/"&amp;M$9&amp;"/2024",Données!$C$5:$C$61)</f>
        <v>6120</v>
      </c>
      <c r="M10" s="11">
        <f>SUMIF(Données!$A$5:$A$61,"&lt;01/"&amp;N$9&amp;"/2024",Données!$C$5:$C$61)</f>
        <v>6816</v>
      </c>
      <c r="N10" s="11">
        <f>SUM(Données!$C$5:$C$61)</f>
        <v>7416</v>
      </c>
    </row>
    <row r="11" spans="1:14" ht="15" thickBot="1" x14ac:dyDescent="0.35">
      <c r="B11" s="22" t="s">
        <v>11</v>
      </c>
      <c r="C11" s="11">
        <f>SUMIF(Données!$A$5:$A$61,"&lt;01/"&amp;D$9&amp;"/2024",Données!$C$5:$C$61)</f>
        <v>624</v>
      </c>
      <c r="D11" s="17">
        <f>D10-C10</f>
        <v>600</v>
      </c>
      <c r="E11" s="17">
        <f t="shared" ref="E11:N11" si="0">E10-D10</f>
        <v>600</v>
      </c>
      <c r="F11" s="17">
        <f t="shared" si="0"/>
        <v>696</v>
      </c>
      <c r="G11" s="17">
        <f t="shared" si="0"/>
        <v>576</v>
      </c>
      <c r="H11" s="17">
        <f t="shared" si="0"/>
        <v>504</v>
      </c>
      <c r="I11" s="17">
        <f t="shared" si="0"/>
        <v>720</v>
      </c>
      <c r="J11" s="17">
        <f t="shared" si="0"/>
        <v>600</v>
      </c>
      <c r="K11" s="17">
        <f t="shared" si="0"/>
        <v>600</v>
      </c>
      <c r="L11" s="17">
        <f t="shared" si="0"/>
        <v>600</v>
      </c>
      <c r="M11" s="17">
        <f t="shared" si="0"/>
        <v>696</v>
      </c>
      <c r="N11" s="17">
        <f t="shared" si="0"/>
        <v>600</v>
      </c>
    </row>
    <row r="12" spans="1:14" ht="15" thickBot="1" x14ac:dyDescent="0.35">
      <c r="B12" s="22" t="s">
        <v>35</v>
      </c>
      <c r="C12" s="11">
        <f>SUMIF(Données!$A$5:$A$61,"&lt;01/"&amp;D$9&amp;"/2024",Données!$D$5:$D$61)</f>
        <v>13</v>
      </c>
      <c r="D12" s="11">
        <f>SUMIF(Données!$A$5:$A$61,"&lt;01/"&amp;E$9&amp;"/2024",Données!$D$5:$D$61)</f>
        <v>26</v>
      </c>
      <c r="E12" s="11">
        <f>SUMIF(Données!$A$5:$A$61,"&lt;01/"&amp;F$9&amp;"/2024",Données!$D$5:$D$61)</f>
        <v>46</v>
      </c>
      <c r="F12" s="11">
        <f>SUMIF(Données!$A$5:$A$61,"&lt;01/"&amp;G$9&amp;"/2024",Données!$D$5:$D$61)</f>
        <v>62</v>
      </c>
      <c r="G12" s="11">
        <f>SUMIF(Données!$A$5:$A$61,"&lt;01/"&amp;H$9&amp;"/2024",Données!$D$5:$D$61)</f>
        <v>75</v>
      </c>
      <c r="H12" s="11">
        <f>SUMIF(Données!$A$5:$A$61,"&lt;01/"&amp;I$9&amp;"/2024",Données!$D$5:$D$61)</f>
        <v>88</v>
      </c>
      <c r="I12" s="11">
        <f>SUMIF(Données!$A$5:$A$61,"&lt;01/"&amp;J$9&amp;"/2024",Données!$D$5:$D$61)</f>
        <v>115</v>
      </c>
      <c r="J12" s="11">
        <f>SUMIF(Données!$A$5:$A$61,"&lt;01/"&amp;K$9&amp;"/2024",Données!$D$5:$D$61)</f>
        <v>135</v>
      </c>
      <c r="K12" s="11">
        <f>SUMIF(Données!$A$5:$A$61,"&lt;01/"&amp;L$9&amp;"/2024",Données!$D$5:$D$61)</f>
        <v>150</v>
      </c>
      <c r="L12" s="11">
        <f>SUMIF(Données!$A$5:$A$61,"&lt;01/"&amp;M$9&amp;"/2024",Données!$D$5:$D$61)</f>
        <v>161</v>
      </c>
      <c r="M12" s="11">
        <f>SUMIF(Données!$A$5:$A$61,"&lt;01/"&amp;N$9&amp;"/2024",Données!$D$5:$D$61)</f>
        <v>179</v>
      </c>
      <c r="N12" s="11">
        <f>SUM(Données!$D$5:$D$61)</f>
        <v>186</v>
      </c>
    </row>
    <row r="13" spans="1:14" ht="15" thickBot="1" x14ac:dyDescent="0.35">
      <c r="B13" s="22" t="s">
        <v>7</v>
      </c>
      <c r="C13" s="11">
        <f>SUMIF(Données!$A$5:$A$61,"&lt;01/"&amp;D$9&amp;"/2024",Données!$D$5:$D$61)</f>
        <v>13</v>
      </c>
      <c r="D13" s="11">
        <f>D12-C12</f>
        <v>13</v>
      </c>
      <c r="E13" s="11">
        <f t="shared" ref="E13:N13" si="1">E12-D12</f>
        <v>20</v>
      </c>
      <c r="F13" s="11">
        <f t="shared" si="1"/>
        <v>16</v>
      </c>
      <c r="G13" s="11">
        <f t="shared" si="1"/>
        <v>13</v>
      </c>
      <c r="H13" s="11">
        <f t="shared" si="1"/>
        <v>13</v>
      </c>
      <c r="I13" s="11">
        <f t="shared" si="1"/>
        <v>27</v>
      </c>
      <c r="J13" s="11">
        <f t="shared" si="1"/>
        <v>20</v>
      </c>
      <c r="K13" s="11">
        <f t="shared" si="1"/>
        <v>15</v>
      </c>
      <c r="L13" s="11">
        <f t="shared" si="1"/>
        <v>11</v>
      </c>
      <c r="M13" s="11">
        <f t="shared" si="1"/>
        <v>18</v>
      </c>
      <c r="N13" s="11">
        <f t="shared" si="1"/>
        <v>7</v>
      </c>
    </row>
    <row r="14" spans="1:14" ht="15" thickBot="1" x14ac:dyDescent="0.35">
      <c r="B14" s="23" t="s">
        <v>12</v>
      </c>
      <c r="C14" s="17">
        <f>C11/C13</f>
        <v>48</v>
      </c>
      <c r="D14" s="17">
        <f t="shared" ref="D14:N14" si="2">D11/D13</f>
        <v>46.153846153846153</v>
      </c>
      <c r="E14" s="17">
        <f t="shared" si="2"/>
        <v>30</v>
      </c>
      <c r="F14" s="17">
        <f t="shared" si="2"/>
        <v>43.5</v>
      </c>
      <c r="G14" s="17">
        <f t="shared" si="2"/>
        <v>44.307692307692307</v>
      </c>
      <c r="H14" s="17">
        <f t="shared" si="2"/>
        <v>38.769230769230766</v>
      </c>
      <c r="I14" s="17">
        <f t="shared" si="2"/>
        <v>26.666666666666668</v>
      </c>
      <c r="J14" s="17">
        <f t="shared" si="2"/>
        <v>30</v>
      </c>
      <c r="K14" s="17">
        <f t="shared" si="2"/>
        <v>40</v>
      </c>
      <c r="L14" s="17">
        <f t="shared" si="2"/>
        <v>54.545454545454547</v>
      </c>
      <c r="M14" s="17">
        <f t="shared" si="2"/>
        <v>38.666666666666664</v>
      </c>
      <c r="N14" s="17">
        <f t="shared" si="2"/>
        <v>85.714285714285708</v>
      </c>
    </row>
    <row r="17" spans="4:7" x14ac:dyDescent="0.3">
      <c r="D17" t="str">
        <f>"&lt;01/"&amp;D$9&amp;"/2024"</f>
        <v>&lt;01/2/2024</v>
      </c>
      <c r="E17" s="18" t="s">
        <v>34</v>
      </c>
      <c r="G17" t="s">
        <v>33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4"/>
  <sheetViews>
    <sheetView workbookViewId="0">
      <selection activeCell="M10" sqref="M10"/>
    </sheetView>
  </sheetViews>
  <sheetFormatPr baseColWidth="10" defaultRowHeight="14.4" x14ac:dyDescent="0.3"/>
  <sheetData>
    <row r="1" spans="1:14" x14ac:dyDescent="0.3">
      <c r="A1" t="s">
        <v>9</v>
      </c>
    </row>
    <row r="2" spans="1:14" ht="15" thickBot="1" x14ac:dyDescent="0.35">
      <c r="A2" t="s">
        <v>8</v>
      </c>
    </row>
    <row r="3" spans="1:14" ht="15" thickBot="1" x14ac:dyDescent="0.35">
      <c r="A3" t="s">
        <v>10</v>
      </c>
      <c r="C3" s="8" t="s">
        <v>13</v>
      </c>
      <c r="D3" s="9" t="s">
        <v>14</v>
      </c>
    </row>
    <row r="4" spans="1:14" x14ac:dyDescent="0.3">
      <c r="B4" s="2" t="s">
        <v>11</v>
      </c>
      <c r="C4" s="11">
        <v>3600</v>
      </c>
      <c r="D4" s="12">
        <v>3816</v>
      </c>
      <c r="F4" t="s">
        <v>36</v>
      </c>
    </row>
    <row r="5" spans="1:14" x14ac:dyDescent="0.3">
      <c r="B5" s="4" t="s">
        <v>7</v>
      </c>
      <c r="C5" s="13">
        <v>88</v>
      </c>
      <c r="D5" s="14">
        <v>98</v>
      </c>
    </row>
    <row r="6" spans="1:14" ht="15" thickBot="1" x14ac:dyDescent="0.35">
      <c r="B6" s="6" t="s">
        <v>12</v>
      </c>
      <c r="C6" s="15">
        <v>40.909090909090907</v>
      </c>
      <c r="D6" s="16">
        <v>38.938775510204081</v>
      </c>
    </row>
    <row r="7" spans="1:14" ht="15" thickBot="1" x14ac:dyDescent="0.35"/>
    <row r="8" spans="1:14" ht="15" thickBot="1" x14ac:dyDescent="0.35">
      <c r="C8" s="10" t="s">
        <v>15</v>
      </c>
      <c r="D8" s="10" t="s">
        <v>16</v>
      </c>
      <c r="E8" s="10" t="s">
        <v>17</v>
      </c>
      <c r="F8" s="10" t="s">
        <v>18</v>
      </c>
      <c r="G8" s="10" t="s">
        <v>19</v>
      </c>
      <c r="H8" s="10" t="s">
        <v>20</v>
      </c>
      <c r="I8" s="10" t="s">
        <v>21</v>
      </c>
      <c r="J8" s="10" t="s">
        <v>22</v>
      </c>
      <c r="K8" s="10" t="s">
        <v>23</v>
      </c>
      <c r="L8" s="10" t="s">
        <v>24</v>
      </c>
      <c r="M8" s="10" t="s">
        <v>25</v>
      </c>
      <c r="N8" s="10" t="s">
        <v>26</v>
      </c>
    </row>
    <row r="9" spans="1:14" ht="15" thickBot="1" x14ac:dyDescent="0.35">
      <c r="C9">
        <v>1</v>
      </c>
      <c r="D9">
        <v>2</v>
      </c>
      <c r="E9">
        <v>3</v>
      </c>
      <c r="F9">
        <v>4</v>
      </c>
      <c r="G9">
        <v>5</v>
      </c>
      <c r="H9">
        <v>6</v>
      </c>
      <c r="I9">
        <v>7</v>
      </c>
      <c r="J9">
        <v>8</v>
      </c>
      <c r="K9">
        <v>9</v>
      </c>
      <c r="L9">
        <v>10</v>
      </c>
      <c r="M9">
        <v>11</v>
      </c>
      <c r="N9">
        <v>12</v>
      </c>
    </row>
    <row r="10" spans="1:14" ht="15" thickBot="1" x14ac:dyDescent="0.35">
      <c r="B10" s="2" t="s">
        <v>11</v>
      </c>
      <c r="C10" s="11">
        <f>SUMIFS(Données!$C:$C,Données!$A:$A,"&gt;=01/"&amp;C$9&amp;"/2024",Données!$A:$A,"&lt;01/"&amp;D$9&amp;"/2024")</f>
        <v>624</v>
      </c>
      <c r="D10" s="11">
        <f>SUMIFS(Données!$C:$C,Données!$A:$A,"&gt;=01/"&amp;D$9&amp;"/2024",Données!$A:$A,"&lt;01/"&amp;E$9&amp;"/2024")</f>
        <v>600</v>
      </c>
      <c r="E10" s="11">
        <f>SUMIFS(Données!$C:$C,Données!$A:$A,"&gt;=01/"&amp;E$9&amp;"/2024",Données!$A:$A,"&lt;01/"&amp;F$9&amp;"/2024")</f>
        <v>600</v>
      </c>
      <c r="F10" s="11">
        <f>SUMIFS(Données!$C:$C,Données!$A:$A,"&gt;=01/"&amp;F$9&amp;"/2024",Données!$A:$A,"&lt;01/"&amp;G$9&amp;"/2024")</f>
        <v>696</v>
      </c>
      <c r="G10" s="11">
        <f>SUMIFS(Données!$C:$C,Données!$A:$A,"&gt;=01/"&amp;G$9&amp;"/2024",Données!$A:$A,"&lt;01/"&amp;H$9&amp;"/2024")</f>
        <v>576</v>
      </c>
      <c r="H10" s="11">
        <f>SUMIFS(Données!$C:$C,Données!$A:$A,"&gt;=01/"&amp;H$9&amp;"/2024",Données!$A:$A,"&lt;01/"&amp;I$9&amp;"/2024")</f>
        <v>504</v>
      </c>
      <c r="I10" s="11">
        <f>SUMIFS(Données!$C:$C,Données!$A:$A,"&gt;=01/"&amp;I$9&amp;"/2024",Données!$A:$A,"&lt;01/"&amp;J$9&amp;"/2024")</f>
        <v>720</v>
      </c>
      <c r="J10" s="11">
        <f>SUMIFS(Données!$C:$C,Données!$A:$A,"&gt;=01/"&amp;J$9&amp;"/2024",Données!$A:$A,"&lt;01/"&amp;K$9&amp;"/2024")</f>
        <v>600</v>
      </c>
      <c r="K10" s="11">
        <f>SUMIFS(Données!$C:$C,Données!$A:$A,"&gt;=01/"&amp;K$9&amp;"/2024",Données!$A:$A,"&lt;01/"&amp;L$9&amp;"/2024")</f>
        <v>600</v>
      </c>
      <c r="L10" s="11">
        <f>SUMIFS(Données!$C:$C,Données!$A:$A,"&gt;=01/"&amp;L$9&amp;"/2024",Données!$A:$A,"&lt;01/"&amp;M$9&amp;"/2024")</f>
        <v>600</v>
      </c>
      <c r="M10" s="11">
        <f>SUMIFS(Données!$C:$C,Données!$A:$A,"&gt;=01/"&amp;M$9&amp;"/2024",Données!$A:$A,"&lt;01/"&amp;N$9&amp;"/2024")</f>
        <v>696</v>
      </c>
      <c r="N10" s="11">
        <f>SUMIFS(Données!$C:$C,Données!$A:$A,"&gt;=01/"&amp;N$9&amp;"/2024")</f>
        <v>600</v>
      </c>
    </row>
    <row r="11" spans="1:14" ht="15" thickBot="1" x14ac:dyDescent="0.35">
      <c r="B11" s="4" t="s">
        <v>7</v>
      </c>
      <c r="C11" s="11">
        <f>SUMIFS(Données!$D:$D,Données!$A:$A,"&gt;=01/"&amp;C$9&amp;"/2024",Données!$A:$A,"&lt;01/"&amp;D$9&amp;"/2024")</f>
        <v>13</v>
      </c>
      <c r="D11" s="11">
        <f>SUMIFS(Données!$D:$D,Données!$A:$A,"&gt;=01/"&amp;D$9&amp;"/2024",Données!$A:$A,"&lt;01/"&amp;E$9&amp;"/2024")</f>
        <v>13</v>
      </c>
      <c r="E11" s="11">
        <f>SUMIFS(Données!$D:$D,Données!$A:$A,"&gt;=01/"&amp;E$9&amp;"/2024",Données!$A:$A,"&lt;01/"&amp;F$9&amp;"/2024")</f>
        <v>20</v>
      </c>
      <c r="F11" s="11">
        <f>SUMIFS(Données!$D:$D,Données!$A:$A,"&gt;=01/"&amp;F$9&amp;"/2024",Données!$A:$A,"&lt;01/"&amp;G$9&amp;"/2024")</f>
        <v>16</v>
      </c>
      <c r="G11" s="11">
        <f>SUMIFS(Données!$D:$D,Données!$A:$A,"&gt;=01/"&amp;G$9&amp;"/2024",Données!$A:$A,"&lt;01/"&amp;H$9&amp;"/2024")</f>
        <v>13</v>
      </c>
      <c r="H11" s="11">
        <f>SUMIFS(Données!$D:$D,Données!$A:$A,"&gt;=01/"&amp;H$9&amp;"/2024",Données!$A:$A,"&lt;01/"&amp;I$9&amp;"/2024")</f>
        <v>13</v>
      </c>
      <c r="I11" s="11">
        <f>SUMIFS(Données!$D:$D,Données!$A:$A,"&gt;=01/"&amp;I$9&amp;"/2024",Données!$A:$A,"&lt;01/"&amp;J$9&amp;"/2024")</f>
        <v>27</v>
      </c>
      <c r="J11" s="11">
        <f>SUMIFS(Données!$D:$D,Données!$A:$A,"&gt;=01/"&amp;J$9&amp;"/2024",Données!$A:$A,"&lt;01/"&amp;K$9&amp;"/2024")</f>
        <v>20</v>
      </c>
      <c r="K11" s="11">
        <f>SUMIFS(Données!$D:$D,Données!$A:$A,"&gt;=01/"&amp;K$9&amp;"/2024",Données!$A:$A,"&lt;01/"&amp;L$9&amp;"/2024")</f>
        <v>15</v>
      </c>
      <c r="L11" s="11">
        <f>SUMIFS(Données!$D:$D,Données!$A:$A,"&gt;=01/"&amp;L$9&amp;"/2024",Données!$A:$A,"&lt;01/"&amp;M$9&amp;"/2024")</f>
        <v>11</v>
      </c>
      <c r="M11" s="11">
        <f>SUMIFS(Données!$D:$D,Données!$A:$A,"&gt;=01/"&amp;M$9&amp;"/2024",Données!$A:$A,"&lt;01/"&amp;N$9&amp;"/2024")</f>
        <v>18</v>
      </c>
      <c r="N11" s="11">
        <f>SUMIFS(Données!$D:$D,Données!$A:$A,"&gt;=01/"&amp;N$9&amp;"/2024")</f>
        <v>7</v>
      </c>
    </row>
    <row r="12" spans="1:14" ht="15" thickBot="1" x14ac:dyDescent="0.35">
      <c r="B12" s="6" t="s">
        <v>12</v>
      </c>
      <c r="C12" s="17">
        <v>48</v>
      </c>
      <c r="D12" s="17">
        <v>46.153846153846153</v>
      </c>
      <c r="E12" s="17">
        <v>30</v>
      </c>
      <c r="F12" s="17">
        <v>43.5</v>
      </c>
      <c r="G12" s="17">
        <v>44.307692307692307</v>
      </c>
      <c r="H12" s="17">
        <v>38.769230769230766</v>
      </c>
      <c r="I12" s="17">
        <v>26.666666666666668</v>
      </c>
      <c r="J12" s="17">
        <v>30</v>
      </c>
      <c r="K12" s="17">
        <v>40</v>
      </c>
      <c r="L12" s="17">
        <v>54.545454545454547</v>
      </c>
      <c r="M12" s="17">
        <v>38.666666666666664</v>
      </c>
      <c r="N12" s="17">
        <v>85.714285714285708</v>
      </c>
    </row>
    <row r="14" spans="1:14" x14ac:dyDescent="0.3">
      <c r="C14" s="18" t="s">
        <v>37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ab83e74-56b0-4278-b32c-502d1f8f5b3e}" enabled="0" method="" siteId="{aab83e74-56b0-4278-b32c-502d1f8f5b3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TCD</vt:lpstr>
      <vt:lpstr>Données</vt:lpstr>
      <vt:lpstr>Par période</vt:lpstr>
      <vt:lpstr>somme.si.ens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Poix Martine</dc:creator>
  <cp:lastModifiedBy>Poix Martine</cp:lastModifiedBy>
  <dcterms:created xsi:type="dcterms:W3CDTF">2024-06-17T12:08:43Z</dcterms:created>
  <dcterms:modified xsi:type="dcterms:W3CDTF">2025-11-18T13:13:48Z</dcterms:modified>
</cp:coreProperties>
</file>