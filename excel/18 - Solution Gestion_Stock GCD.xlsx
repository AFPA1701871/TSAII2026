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fpa365-my.sharepoint.com/personal/1701871_afpa_fr/Documents/Documents/Mes Cours/Excel/"/>
    </mc:Choice>
  </mc:AlternateContent>
  <xr:revisionPtr revIDLastSave="2" documentId="11_DA786A1409A805C9BE7C375D64BB921CFA8CE402" xr6:coauthVersionLast="47" xr6:coauthVersionMax="47" xr10:uidLastSave="{53D9CB53-B791-443E-B4A3-9B5F221D6F4F}"/>
  <bookViews>
    <workbookView xWindow="-108" yWindow="-108" windowWidth="23256" windowHeight="12456" activeTab="1" xr2:uid="{00000000-000D-0000-FFFF-FFFF00000000}"/>
  </bookViews>
  <sheets>
    <sheet name="Inventaire Initial" sheetId="1" r:id="rId1"/>
    <sheet name="Feuil1" sheetId="7" r:id="rId2"/>
    <sheet name="Mouvements de Stock" sheetId="2" r:id="rId3"/>
    <sheet name="Inventaire Actuel" sheetId="3" r:id="rId4"/>
    <sheet name="TCD" sheetId="4" r:id="rId5"/>
    <sheet name="TCD signée" sheetId="6" r:id="rId6"/>
  </sheets>
  <definedNames>
    <definedName name="Segment_Nom_du_Produit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2" i="2"/>
  <c r="B3" i="3"/>
  <c r="B4" i="3"/>
  <c r="B2" i="3"/>
  <c r="C2" i="3" s="1"/>
  <c r="C3" i="3" l="1"/>
  <c r="C4" i="3"/>
</calcChain>
</file>

<file path=xl/sharedStrings.xml><?xml version="1.0" encoding="utf-8"?>
<sst xmlns="http://schemas.openxmlformats.org/spreadsheetml/2006/main" count="364" uniqueCount="37">
  <si>
    <t>Nom du Produit</t>
  </si>
  <si>
    <t>Quantité Initiale</t>
  </si>
  <si>
    <t>Produit A</t>
  </si>
  <si>
    <t>Produit B</t>
  </si>
  <si>
    <t>Produit C</t>
  </si>
  <si>
    <t>Date</t>
  </si>
  <si>
    <t>Type de Mouvement</t>
  </si>
  <si>
    <t>Quantité</t>
  </si>
  <si>
    <t>Entrée</t>
  </si>
  <si>
    <t>Sortie</t>
  </si>
  <si>
    <t>Quantité Actuelle</t>
  </si>
  <si>
    <t>Calculer les quantité initiale et actuelle</t>
  </si>
  <si>
    <t>Étiquettes de lignes</t>
  </si>
  <si>
    <t>Total général</t>
  </si>
  <si>
    <t>Étiquettes de colonnes</t>
  </si>
  <si>
    <t>Créer un tableau croisé dynamique pour suivre les mouvements de stocks par produit</t>
  </si>
  <si>
    <t>Que faut-il retirer au TCD pour être cohérent?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</si>
  <si>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</si>
  <si>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</si>
  <si>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</si>
  <si>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</si>
  <si>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</si>
  <si>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</si>
  <si>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</si>
  <si>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</si>
  <si>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</si>
  <si>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</si>
  <si>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</si>
  <si>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</si>
  <si>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Ajouter le suivi par mois</t>
  </si>
  <si>
    <t>Quel est le problème?</t>
  </si>
  <si>
    <t>Comment modifier les données pour voir la synthèse des mouvements par mois?</t>
  </si>
  <si>
    <t>=B2+
SOMME.SI.ENS('Mouvements de Stock'!D:D;'Mouvements de Stock'!B:B;"=" &amp; 'Inventaire Actuel'!A2;'Mouvements de Stock'!C:C;"=Entrée")
-SOMME.SI.ENS('Mouvements de Stock'!D:D;'Mouvements de Stock'!B:B;"=" &amp; 'Inventaire Actuel'!A2;'Mouvements de Stock'!C:C;"=Sortie")</t>
  </si>
  <si>
    <t>delta</t>
  </si>
  <si>
    <t>quantités</t>
  </si>
  <si>
    <t>quantité signée</t>
  </si>
  <si>
    <t>Somme de quantité signée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</si>
</sst>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2" xfId="0" applyFont="1" applyBorder="1" applyAlignment="1">
      <alignment horizontal="center" vertical="top"/>
    </xf>
    <xf numFmtId="0" fontId="0" fillId="0" borderId="0" xfId="0" quotePrefix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[18 - Solution Gestion_Stock GCD.xlsx]Feuil1!Tableau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Feuil1!$B$1:$B$2</c:f>
              <c:strCache>
                <c:ptCount val="1"/>
                <c:pt idx="0">
                  <c:v>Produit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Feuil1!$A$3:$A$15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Feuil1!$B$3:$B$15</c:f>
              <c:numCache>
                <c:formatCode>General</c:formatCode>
                <c:ptCount val="12"/>
                <c:pt idx="0">
                  <c:v>-132</c:v>
                </c:pt>
                <c:pt idx="1">
                  <c:v>148</c:v>
                </c:pt>
                <c:pt idx="2">
                  <c:v>61</c:v>
                </c:pt>
                <c:pt idx="3">
                  <c:v>-65</c:v>
                </c:pt>
                <c:pt idx="4">
                  <c:v>32</c:v>
                </c:pt>
                <c:pt idx="5">
                  <c:v>-43</c:v>
                </c:pt>
                <c:pt idx="6">
                  <c:v>95</c:v>
                </c:pt>
                <c:pt idx="7">
                  <c:v>-41</c:v>
                </c:pt>
                <c:pt idx="8">
                  <c:v>-72</c:v>
                </c:pt>
                <c:pt idx="9">
                  <c:v>-65</c:v>
                </c:pt>
                <c:pt idx="10">
                  <c:v>49</c:v>
                </c:pt>
                <c:pt idx="11">
                  <c:v>-54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C-4B24-8CD2-67BCE7BEF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100864"/>
        <c:axId val="402102832"/>
      </c:lineChart>
      <c:catAx>
        <c:axId val="4021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2102832"/>
        <c:crosses val="autoZero"/>
        <c:auto val="1"/>
        <c:lblAlgn val="ctr"/>
        <c:lblOffset val="100"/>
        <c:noMultiLvlLbl val="0"/>
      </c:catAx>
      <c:valAx>
        <c:axId val="40210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21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352424</xdr:colOff>
      <xdr:row>1</xdr:row>
      <xdr:rowOff>0</xdr:rowOff>
    </xdr:from>
    <xdr:to>
      <xdr:col>19</xdr:col>
      <xdr:colOff>619125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190500</xdr:colOff>
      <xdr:row>18</xdr:row>
      <xdr:rowOff>19050</xdr:rowOff>
    </xdr:from>
    <xdr:to>
      <xdr:col>18</xdr:col>
      <xdr:colOff>495300</xdr:colOff>
      <xdr:row>31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om du Produit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 du Produ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5600" y="34480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ix Martine" refreshedDate="45469.481939930556" createdVersion="6" refreshedVersion="6" minRefreshableVersion="3" recordCount="125" xr:uid="{00000000-000A-0000-FFFF-FFFF01000000}">
  <cacheSource type="worksheet">
    <worksheetSource ref="A1:E126" sheet="Mouvements de Stock"/>
  </cacheSource>
  <cacheFields count="7">
    <cacheField name="Date" numFmtId="14">
      <sharedItems containsSemiMixedTypes="0" containsNonDate="0" containsDate="1" containsString="0" minDate="2024-01-01T00:00:00" maxDate="2024-12-31T00:00:00" count="125">
        <d v="2024-01-01T00:00:00"/>
        <d v="2024-01-05T00:00:00"/>
        <d v="2024-01-06T00:00:00"/>
        <d v="2024-01-07T00:00:00"/>
        <d v="2024-01-10T00:00:00"/>
        <d v="2024-01-12T00:00:00"/>
        <d v="2024-01-16T00:00:00"/>
        <d v="2024-01-20T00:00:00"/>
        <d v="2024-01-25T00:00:00"/>
        <d v="2024-01-30T00:00:00"/>
        <d v="2024-02-03T00:00:00"/>
        <d v="2024-02-05T00:00:00"/>
        <d v="2024-02-08T00:00:00"/>
        <d v="2024-02-12T00:00:00"/>
        <d v="2024-02-13T00:00:00"/>
        <d v="2024-02-16T00:00:00"/>
        <d v="2024-02-17T00:00:00"/>
        <d v="2024-02-18T00:00:00"/>
        <d v="2024-02-20T00:00:00"/>
        <d v="2024-02-23T00:00:00"/>
        <d v="2024-02-26T00:00:00"/>
        <d v="2024-02-27T00:00:00"/>
        <d v="2024-03-03T00:00:00"/>
        <d v="2024-03-06T00:00:00"/>
        <d v="2024-03-09T00:00:00"/>
        <d v="2024-03-14T00:00:00"/>
        <d v="2024-03-17T00:00:00"/>
        <d v="2024-03-18T00:00:00"/>
        <d v="2024-03-21T00:00:00"/>
        <d v="2024-03-26T00:00:00"/>
        <d v="2024-03-29T00:00:00"/>
        <d v="2024-04-03T00:00:00"/>
        <d v="2024-04-06T00:00:00"/>
        <d v="2024-04-07T00:00:00"/>
        <d v="2024-04-08T00:00:00"/>
        <d v="2024-04-10T00:00:00"/>
        <d v="2024-04-13T00:00:00"/>
        <d v="2024-04-16T00:00:00"/>
        <d v="2024-04-17T00:00:00"/>
        <d v="2024-04-21T00:00:00"/>
        <d v="2024-04-24T00:00:00"/>
        <d v="2024-04-28T00:00:00"/>
        <d v="2024-04-30T00:00:00"/>
        <d v="2024-05-03T00:00:00"/>
        <d v="2024-05-08T00:00:00"/>
        <d v="2024-05-12T00:00:00"/>
        <d v="2024-05-14T00:00:00"/>
        <d v="2024-05-19T00:00:00"/>
        <d v="2024-05-22T00:00:00"/>
        <d v="2024-05-24T00:00:00"/>
        <d v="2024-05-26T00:00:00"/>
        <d v="2024-05-29T00:00:00"/>
        <d v="2024-05-30T00:00:00"/>
        <d v="2024-06-04T00:00:00"/>
        <d v="2024-06-07T00:00:00"/>
        <d v="2024-06-09T00:00:00"/>
        <d v="2024-06-14T00:00:00"/>
        <d v="2024-06-17T00:00:00"/>
        <d v="2024-06-22T00:00:00"/>
        <d v="2024-06-23T00:00:00"/>
        <d v="2024-06-25T00:00:00"/>
        <d v="2024-06-29T00:00:00"/>
        <d v="2024-07-03T00:00:00"/>
        <d v="2024-07-06T00:00:00"/>
        <d v="2024-07-11T00:00:00"/>
        <d v="2024-07-16T00:00:00"/>
        <d v="2024-07-19T00:00:00"/>
        <d v="2024-07-20T00:00:00"/>
        <d v="2024-07-21T00:00:00"/>
        <d v="2024-07-25T00:00:00"/>
        <d v="2024-07-27T00:00:00"/>
        <d v="2024-07-28T00:00:00"/>
        <d v="2024-08-01T00:00:00"/>
        <d v="2024-08-06T00:00:00"/>
        <d v="2024-08-07T00:00:00"/>
        <d v="2024-08-10T00:00:00"/>
        <d v="2024-08-14T00:00:00"/>
        <d v="2024-08-18T00:00:00"/>
        <d v="2024-08-22T00:00:00"/>
        <d v="2024-08-24T00:00:00"/>
        <d v="2024-08-28T00:00:00"/>
        <d v="2024-08-31T00:00:00"/>
        <d v="2024-09-03T00:00:00"/>
        <d v="2024-09-04T00:00:00"/>
        <d v="2024-09-07T00:00:00"/>
        <d v="2024-09-11T00:00:00"/>
        <d v="2024-09-13T00:00:00"/>
        <d v="2024-09-18T00:00:00"/>
        <d v="2024-09-23T00:00:00"/>
        <d v="2024-09-24T00:00:00"/>
        <d v="2024-09-28T00:00:00"/>
        <d v="2024-10-01T00:00:00"/>
        <d v="2024-10-06T00:00:00"/>
        <d v="2024-10-09T00:00:00"/>
        <d v="2024-10-11T00:00:00"/>
        <d v="2024-10-13T00:00:00"/>
        <d v="2024-10-17T00:00:00"/>
        <d v="2024-10-19T00:00:00"/>
        <d v="2024-10-20T00:00:00"/>
        <d v="2024-10-22T00:00:00"/>
        <d v="2024-10-27T00:00:00"/>
        <d v="2024-10-31T00:00:00"/>
        <d v="2024-11-02T00:00:00"/>
        <d v="2024-11-06T00:00:00"/>
        <d v="2024-11-08T00:00:00"/>
        <d v="2024-11-09T00:00:00"/>
        <d v="2024-11-12T00:00:00"/>
        <d v="2024-11-15T00:00:00"/>
        <d v="2024-11-19T00:00:00"/>
        <d v="2024-11-23T00:00:00"/>
        <d v="2024-11-28T00:00:00"/>
        <d v="2024-11-29T00:00:00"/>
        <d v="2024-12-01T00:00:00"/>
        <d v="2024-12-02T00:00:00"/>
        <d v="2024-12-05T00:00:00"/>
        <d v="2024-12-10T00:00:00"/>
        <d v="2024-12-12T00:00:00"/>
        <d v="2024-12-14T00:00:00"/>
        <d v="2024-12-15T00:00:00"/>
        <d v="2024-12-17T00:00:00"/>
        <d v="2024-12-18T00:00:00"/>
        <d v="2024-12-19T00:00:00"/>
        <d v="2024-12-22T00:00:00"/>
        <d v="2024-12-26T00:00:00"/>
        <d v="2024-12-30T00:00:00"/>
      </sharedItems>
      <fieldGroup par="6"/>
    </cacheField>
    <cacheField name="Nom du Produit" numFmtId="0">
      <sharedItems count="3">
        <s v="Produit A"/>
        <s v="Produit C"/>
        <s v="Produit B"/>
      </sharedItems>
    </cacheField>
    <cacheField name="Type de Mouvement" numFmtId="0">
      <sharedItems count="2">
        <s v="Sortie"/>
        <s v="Entrée"/>
      </sharedItems>
    </cacheField>
    <cacheField name="Quantité" numFmtId="0">
      <sharedItems containsSemiMixedTypes="0" containsString="0" containsNumber="1" containsInteger="1" minValue="10" maxValue="60"/>
    </cacheField>
    <cacheField name="quantité signée" numFmtId="0">
      <sharedItems containsSemiMixedTypes="0" containsString="0" containsNumber="1" containsInteger="1" minValue="-60" maxValue="59"/>
    </cacheField>
    <cacheField name="Jours (Date)" numFmtId="0" databaseField="0">
      <fieldGroup base="0">
        <rangePr groupBy="days" startDate="2024-01-01T00:00:00" endDate="2024-12-31T00:00:00"/>
        <groupItems count="368">
          <s v="&lt;01/01/2024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31/12/2024"/>
        </groupItems>
      </fieldGroup>
    </cacheField>
    <cacheField name="Mois (Date)" numFmtId="0" databaseField="0">
      <fieldGroup base="0">
        <rangePr groupBy="months" startDate="2024-01-01T00:00:00" endDate="2024-12-31T00:00:00"/>
        <groupItems count="14">
          <s v="&lt;01/01/202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5">
  <r>
    <x v="0"/>
    <x v="0"/>
    <x v="0"/>
    <n v="36"/>
    <n v="-36"/>
  </r>
  <r>
    <x v="1"/>
    <x v="1"/>
    <x v="1"/>
    <n v="53"/>
    <n v="53"/>
  </r>
  <r>
    <x v="2"/>
    <x v="1"/>
    <x v="0"/>
    <n v="25"/>
    <n v="-25"/>
  </r>
  <r>
    <x v="3"/>
    <x v="0"/>
    <x v="0"/>
    <n v="53"/>
    <n v="-53"/>
  </r>
  <r>
    <x v="4"/>
    <x v="1"/>
    <x v="1"/>
    <n v="13"/>
    <n v="13"/>
  </r>
  <r>
    <x v="5"/>
    <x v="2"/>
    <x v="1"/>
    <n v="55"/>
    <n v="55"/>
  </r>
  <r>
    <x v="6"/>
    <x v="2"/>
    <x v="1"/>
    <n v="23"/>
    <n v="23"/>
  </r>
  <r>
    <x v="7"/>
    <x v="1"/>
    <x v="1"/>
    <n v="48"/>
    <n v="48"/>
  </r>
  <r>
    <x v="8"/>
    <x v="0"/>
    <x v="0"/>
    <n v="43"/>
    <n v="-43"/>
  </r>
  <r>
    <x v="9"/>
    <x v="2"/>
    <x v="0"/>
    <n v="45"/>
    <n v="-45"/>
  </r>
  <r>
    <x v="10"/>
    <x v="2"/>
    <x v="0"/>
    <n v="28"/>
    <n v="-28"/>
  </r>
  <r>
    <x v="11"/>
    <x v="2"/>
    <x v="0"/>
    <n v="17"/>
    <n v="-17"/>
  </r>
  <r>
    <x v="12"/>
    <x v="1"/>
    <x v="1"/>
    <n v="19"/>
    <n v="19"/>
  </r>
  <r>
    <x v="13"/>
    <x v="1"/>
    <x v="0"/>
    <n v="52"/>
    <n v="-52"/>
  </r>
  <r>
    <x v="14"/>
    <x v="2"/>
    <x v="0"/>
    <n v="49"/>
    <n v="-49"/>
  </r>
  <r>
    <x v="15"/>
    <x v="2"/>
    <x v="0"/>
    <n v="48"/>
    <n v="-48"/>
  </r>
  <r>
    <x v="16"/>
    <x v="0"/>
    <x v="1"/>
    <n v="48"/>
    <n v="48"/>
  </r>
  <r>
    <x v="17"/>
    <x v="2"/>
    <x v="0"/>
    <n v="52"/>
    <n v="-52"/>
  </r>
  <r>
    <x v="18"/>
    <x v="0"/>
    <x v="1"/>
    <n v="51"/>
    <n v="51"/>
  </r>
  <r>
    <x v="19"/>
    <x v="2"/>
    <x v="0"/>
    <n v="43"/>
    <n v="-43"/>
  </r>
  <r>
    <x v="20"/>
    <x v="0"/>
    <x v="1"/>
    <n v="49"/>
    <n v="49"/>
  </r>
  <r>
    <x v="21"/>
    <x v="2"/>
    <x v="0"/>
    <n v="25"/>
    <n v="-25"/>
  </r>
  <r>
    <x v="22"/>
    <x v="1"/>
    <x v="0"/>
    <n v="22"/>
    <n v="-22"/>
  </r>
  <r>
    <x v="23"/>
    <x v="1"/>
    <x v="1"/>
    <n v="50"/>
    <n v="50"/>
  </r>
  <r>
    <x v="24"/>
    <x v="2"/>
    <x v="1"/>
    <n v="51"/>
    <n v="51"/>
  </r>
  <r>
    <x v="25"/>
    <x v="1"/>
    <x v="1"/>
    <n v="17"/>
    <n v="17"/>
  </r>
  <r>
    <x v="26"/>
    <x v="0"/>
    <x v="1"/>
    <n v="58"/>
    <n v="58"/>
  </r>
  <r>
    <x v="27"/>
    <x v="1"/>
    <x v="0"/>
    <n v="38"/>
    <n v="-38"/>
  </r>
  <r>
    <x v="28"/>
    <x v="0"/>
    <x v="1"/>
    <n v="53"/>
    <n v="53"/>
  </r>
  <r>
    <x v="29"/>
    <x v="1"/>
    <x v="0"/>
    <n v="13"/>
    <n v="-13"/>
  </r>
  <r>
    <x v="30"/>
    <x v="0"/>
    <x v="0"/>
    <n v="50"/>
    <n v="-50"/>
  </r>
  <r>
    <x v="31"/>
    <x v="0"/>
    <x v="0"/>
    <n v="42"/>
    <n v="-42"/>
  </r>
  <r>
    <x v="32"/>
    <x v="1"/>
    <x v="1"/>
    <n v="35"/>
    <n v="35"/>
  </r>
  <r>
    <x v="33"/>
    <x v="0"/>
    <x v="0"/>
    <n v="42"/>
    <n v="-42"/>
  </r>
  <r>
    <x v="34"/>
    <x v="1"/>
    <x v="1"/>
    <n v="10"/>
    <n v="10"/>
  </r>
  <r>
    <x v="35"/>
    <x v="2"/>
    <x v="1"/>
    <n v="31"/>
    <n v="31"/>
  </r>
  <r>
    <x v="36"/>
    <x v="2"/>
    <x v="1"/>
    <n v="34"/>
    <n v="34"/>
  </r>
  <r>
    <x v="37"/>
    <x v="2"/>
    <x v="1"/>
    <n v="32"/>
    <n v="32"/>
  </r>
  <r>
    <x v="38"/>
    <x v="1"/>
    <x v="0"/>
    <n v="30"/>
    <n v="-30"/>
  </r>
  <r>
    <x v="39"/>
    <x v="0"/>
    <x v="1"/>
    <n v="19"/>
    <n v="19"/>
  </r>
  <r>
    <x v="40"/>
    <x v="1"/>
    <x v="0"/>
    <n v="10"/>
    <n v="-10"/>
  </r>
  <r>
    <x v="41"/>
    <x v="2"/>
    <x v="1"/>
    <n v="40"/>
    <n v="40"/>
  </r>
  <r>
    <x v="42"/>
    <x v="1"/>
    <x v="0"/>
    <n v="11"/>
    <n v="-11"/>
  </r>
  <r>
    <x v="43"/>
    <x v="0"/>
    <x v="1"/>
    <n v="49"/>
    <n v="49"/>
  </r>
  <r>
    <x v="44"/>
    <x v="1"/>
    <x v="1"/>
    <n v="28"/>
    <n v="28"/>
  </r>
  <r>
    <x v="45"/>
    <x v="0"/>
    <x v="0"/>
    <n v="48"/>
    <n v="-48"/>
  </r>
  <r>
    <x v="46"/>
    <x v="1"/>
    <x v="1"/>
    <n v="58"/>
    <n v="58"/>
  </r>
  <r>
    <x v="47"/>
    <x v="0"/>
    <x v="1"/>
    <n v="31"/>
    <n v="31"/>
  </r>
  <r>
    <x v="48"/>
    <x v="1"/>
    <x v="1"/>
    <n v="53"/>
    <n v="53"/>
  </r>
  <r>
    <x v="49"/>
    <x v="1"/>
    <x v="0"/>
    <n v="33"/>
    <n v="-33"/>
  </r>
  <r>
    <x v="50"/>
    <x v="1"/>
    <x v="1"/>
    <n v="35"/>
    <n v="35"/>
  </r>
  <r>
    <x v="51"/>
    <x v="2"/>
    <x v="0"/>
    <n v="21"/>
    <n v="-21"/>
  </r>
  <r>
    <x v="52"/>
    <x v="1"/>
    <x v="0"/>
    <n v="28"/>
    <n v="-28"/>
  </r>
  <r>
    <x v="53"/>
    <x v="0"/>
    <x v="1"/>
    <n v="10"/>
    <n v="10"/>
  </r>
  <r>
    <x v="54"/>
    <x v="0"/>
    <x v="0"/>
    <n v="25"/>
    <n v="-25"/>
  </r>
  <r>
    <x v="55"/>
    <x v="2"/>
    <x v="1"/>
    <n v="31"/>
    <n v="31"/>
  </r>
  <r>
    <x v="56"/>
    <x v="1"/>
    <x v="1"/>
    <n v="24"/>
    <n v="24"/>
  </r>
  <r>
    <x v="57"/>
    <x v="0"/>
    <x v="0"/>
    <n v="28"/>
    <n v="-28"/>
  </r>
  <r>
    <x v="58"/>
    <x v="1"/>
    <x v="1"/>
    <n v="56"/>
    <n v="56"/>
  </r>
  <r>
    <x v="59"/>
    <x v="2"/>
    <x v="1"/>
    <n v="31"/>
    <n v="31"/>
  </r>
  <r>
    <x v="60"/>
    <x v="1"/>
    <x v="0"/>
    <n v="11"/>
    <n v="-11"/>
  </r>
  <r>
    <x v="61"/>
    <x v="2"/>
    <x v="1"/>
    <n v="39"/>
    <n v="39"/>
  </r>
  <r>
    <x v="62"/>
    <x v="2"/>
    <x v="1"/>
    <n v="52"/>
    <n v="52"/>
  </r>
  <r>
    <x v="63"/>
    <x v="2"/>
    <x v="0"/>
    <n v="14"/>
    <n v="-14"/>
  </r>
  <r>
    <x v="64"/>
    <x v="2"/>
    <x v="1"/>
    <n v="36"/>
    <n v="36"/>
  </r>
  <r>
    <x v="65"/>
    <x v="2"/>
    <x v="1"/>
    <n v="56"/>
    <n v="56"/>
  </r>
  <r>
    <x v="66"/>
    <x v="2"/>
    <x v="0"/>
    <n v="27"/>
    <n v="-27"/>
  </r>
  <r>
    <x v="67"/>
    <x v="0"/>
    <x v="1"/>
    <n v="37"/>
    <n v="37"/>
  </r>
  <r>
    <x v="68"/>
    <x v="1"/>
    <x v="0"/>
    <n v="32"/>
    <n v="-32"/>
  </r>
  <r>
    <x v="69"/>
    <x v="2"/>
    <x v="0"/>
    <n v="18"/>
    <n v="-18"/>
  </r>
  <r>
    <x v="70"/>
    <x v="0"/>
    <x v="1"/>
    <n v="21"/>
    <n v="21"/>
  </r>
  <r>
    <x v="71"/>
    <x v="0"/>
    <x v="1"/>
    <n v="37"/>
    <n v="37"/>
  </r>
  <r>
    <x v="72"/>
    <x v="1"/>
    <x v="1"/>
    <n v="40"/>
    <n v="40"/>
  </r>
  <r>
    <x v="73"/>
    <x v="2"/>
    <x v="0"/>
    <n v="41"/>
    <n v="-41"/>
  </r>
  <r>
    <x v="74"/>
    <x v="1"/>
    <x v="1"/>
    <n v="23"/>
    <n v="23"/>
  </r>
  <r>
    <x v="75"/>
    <x v="2"/>
    <x v="0"/>
    <n v="33"/>
    <n v="-33"/>
  </r>
  <r>
    <x v="76"/>
    <x v="2"/>
    <x v="0"/>
    <n v="27"/>
    <n v="-27"/>
  </r>
  <r>
    <x v="77"/>
    <x v="2"/>
    <x v="0"/>
    <n v="60"/>
    <n v="-60"/>
  </r>
  <r>
    <x v="78"/>
    <x v="1"/>
    <x v="0"/>
    <n v="11"/>
    <n v="-11"/>
  </r>
  <r>
    <x v="79"/>
    <x v="0"/>
    <x v="0"/>
    <n v="41"/>
    <n v="-41"/>
  </r>
  <r>
    <x v="80"/>
    <x v="1"/>
    <x v="1"/>
    <n v="31"/>
    <n v="31"/>
  </r>
  <r>
    <x v="81"/>
    <x v="1"/>
    <x v="0"/>
    <n v="52"/>
    <n v="-52"/>
  </r>
  <r>
    <x v="82"/>
    <x v="0"/>
    <x v="0"/>
    <n v="37"/>
    <n v="-37"/>
  </r>
  <r>
    <x v="83"/>
    <x v="1"/>
    <x v="1"/>
    <n v="17"/>
    <n v="17"/>
  </r>
  <r>
    <x v="84"/>
    <x v="1"/>
    <x v="0"/>
    <n v="48"/>
    <n v="-48"/>
  </r>
  <r>
    <x v="85"/>
    <x v="1"/>
    <x v="0"/>
    <n v="42"/>
    <n v="-42"/>
  </r>
  <r>
    <x v="86"/>
    <x v="0"/>
    <x v="1"/>
    <n v="35"/>
    <n v="35"/>
  </r>
  <r>
    <x v="87"/>
    <x v="0"/>
    <x v="0"/>
    <n v="49"/>
    <n v="-49"/>
  </r>
  <r>
    <x v="88"/>
    <x v="2"/>
    <x v="1"/>
    <n v="12"/>
    <n v="12"/>
  </r>
  <r>
    <x v="89"/>
    <x v="2"/>
    <x v="0"/>
    <n v="44"/>
    <n v="-44"/>
  </r>
  <r>
    <x v="90"/>
    <x v="0"/>
    <x v="0"/>
    <n v="21"/>
    <n v="-21"/>
  </r>
  <r>
    <x v="91"/>
    <x v="1"/>
    <x v="0"/>
    <n v="50"/>
    <n v="-50"/>
  </r>
  <r>
    <x v="92"/>
    <x v="2"/>
    <x v="0"/>
    <n v="19"/>
    <n v="-19"/>
  </r>
  <r>
    <x v="93"/>
    <x v="0"/>
    <x v="0"/>
    <n v="14"/>
    <n v="-14"/>
  </r>
  <r>
    <x v="94"/>
    <x v="0"/>
    <x v="0"/>
    <n v="18"/>
    <n v="-18"/>
  </r>
  <r>
    <x v="95"/>
    <x v="0"/>
    <x v="1"/>
    <n v="19"/>
    <n v="19"/>
  </r>
  <r>
    <x v="96"/>
    <x v="2"/>
    <x v="0"/>
    <n v="17"/>
    <n v="-17"/>
  </r>
  <r>
    <x v="97"/>
    <x v="2"/>
    <x v="0"/>
    <n v="18"/>
    <n v="-18"/>
  </r>
  <r>
    <x v="98"/>
    <x v="0"/>
    <x v="0"/>
    <n v="52"/>
    <n v="-52"/>
  </r>
  <r>
    <x v="99"/>
    <x v="2"/>
    <x v="1"/>
    <n v="28"/>
    <n v="28"/>
  </r>
  <r>
    <x v="100"/>
    <x v="1"/>
    <x v="0"/>
    <n v="42"/>
    <n v="-42"/>
  </r>
  <r>
    <x v="101"/>
    <x v="2"/>
    <x v="1"/>
    <n v="56"/>
    <n v="56"/>
  </r>
  <r>
    <x v="102"/>
    <x v="1"/>
    <x v="1"/>
    <n v="54"/>
    <n v="54"/>
  </r>
  <r>
    <x v="103"/>
    <x v="2"/>
    <x v="1"/>
    <n v="10"/>
    <n v="10"/>
  </r>
  <r>
    <x v="104"/>
    <x v="1"/>
    <x v="0"/>
    <n v="19"/>
    <n v="-19"/>
  </r>
  <r>
    <x v="105"/>
    <x v="2"/>
    <x v="1"/>
    <n v="32"/>
    <n v="32"/>
  </r>
  <r>
    <x v="106"/>
    <x v="0"/>
    <x v="1"/>
    <n v="42"/>
    <n v="42"/>
  </r>
  <r>
    <x v="107"/>
    <x v="0"/>
    <x v="0"/>
    <n v="13"/>
    <n v="-13"/>
  </r>
  <r>
    <x v="108"/>
    <x v="2"/>
    <x v="0"/>
    <n v="16"/>
    <n v="-16"/>
  </r>
  <r>
    <x v="109"/>
    <x v="1"/>
    <x v="0"/>
    <n v="24"/>
    <n v="-24"/>
  </r>
  <r>
    <x v="110"/>
    <x v="0"/>
    <x v="1"/>
    <n v="20"/>
    <n v="20"/>
  </r>
  <r>
    <x v="111"/>
    <x v="1"/>
    <x v="1"/>
    <n v="33"/>
    <n v="33"/>
  </r>
  <r>
    <x v="112"/>
    <x v="1"/>
    <x v="1"/>
    <n v="46"/>
    <n v="46"/>
  </r>
  <r>
    <x v="113"/>
    <x v="2"/>
    <x v="1"/>
    <n v="27"/>
    <n v="27"/>
  </r>
  <r>
    <x v="114"/>
    <x v="2"/>
    <x v="0"/>
    <n v="43"/>
    <n v="-43"/>
  </r>
  <r>
    <x v="115"/>
    <x v="0"/>
    <x v="0"/>
    <n v="50"/>
    <n v="-50"/>
  </r>
  <r>
    <x v="116"/>
    <x v="2"/>
    <x v="0"/>
    <n v="44"/>
    <n v="-44"/>
  </r>
  <r>
    <x v="117"/>
    <x v="2"/>
    <x v="0"/>
    <n v="15"/>
    <n v="-15"/>
  </r>
  <r>
    <x v="118"/>
    <x v="0"/>
    <x v="0"/>
    <n v="58"/>
    <n v="-58"/>
  </r>
  <r>
    <x v="119"/>
    <x v="1"/>
    <x v="0"/>
    <n v="39"/>
    <n v="-39"/>
  </r>
  <r>
    <x v="120"/>
    <x v="0"/>
    <x v="1"/>
    <n v="21"/>
    <n v="21"/>
  </r>
  <r>
    <x v="121"/>
    <x v="0"/>
    <x v="1"/>
    <n v="59"/>
    <n v="59"/>
  </r>
  <r>
    <x v="122"/>
    <x v="2"/>
    <x v="0"/>
    <n v="16"/>
    <n v="-16"/>
  </r>
  <r>
    <x v="123"/>
    <x v="0"/>
    <x v="0"/>
    <n v="26"/>
    <n v="-26"/>
  </r>
  <r>
    <x v="124"/>
    <x v="1"/>
    <x v="1"/>
    <n v="33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1">
  <location ref="A1:C15" firstHeaderRow="1" firstDataRow="2" firstDataCol="1"/>
  <pivotFields count="7">
    <pivotField numFmtId="14" showAll="0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axis="axisCol" showAll="0">
      <items count="4">
        <item x="0"/>
        <item h="1" x="2"/>
        <item h="1" x="1"/>
        <item t="default"/>
      </items>
    </pivotField>
    <pivotField showAll="0"/>
    <pivotField showAll="0"/>
    <pivotField dataField="1" showAll="0"/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6"/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2">
    <i>
      <x/>
    </i>
    <i t="grand">
      <x/>
    </i>
  </colItems>
  <dataFields count="1">
    <dataField name="Somme de quantité signée" fld="4" baseField="0" baseItem="0"/>
  </dataFields>
  <chartFormats count="3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colGrandTotals="0" itemPrintTitles="1" createdVersion="8" indent="0" outline="1" outlineData="1" multipleFieldFilters="0">
  <location ref="A3:Y15" firstHeaderRow="1" firstDataRow="3" firstDataCol="1"/>
  <pivotFields count="7">
    <pivotField numFmtId="14" showAll="0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axis="axisRow" showAll="0" defaultSubtotal="0">
      <items count="3">
        <item x="0"/>
        <item x="2"/>
        <item x="1"/>
      </items>
    </pivotField>
    <pivotField axis="axisRow" showAll="0" defaultSubtotal="0">
      <items count="2">
        <item x="1"/>
        <item x="0"/>
      </items>
    </pivotField>
    <pivotField dataField="1" showAll="0"/>
    <pivotField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 defaultSubtotal="0">
      <items count="14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2">
    <field x="6"/>
    <field x="-2"/>
  </colFields>
  <colItems count="24"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</colItems>
  <dataFields count="2">
    <dataField name="quantités" fld="3" baseField="2" baseItem="0"/>
    <dataField name="delta" fld="3" showDataAs="difference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colGrandTotals="0" itemPrintTitles="1" createdVersion="8" indent="0" outline="1" outlineData="1" multipleFieldFilters="0">
  <location ref="A3:M14" firstHeaderRow="1" firstDataRow="2" firstDataCol="1"/>
  <pivotFields count="7">
    <pivotField numFmtId="14" showAll="0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 defaultSubtotal="0">
      <items count="2">
        <item x="1"/>
        <item x="0"/>
      </items>
    </pivotField>
    <pivotField showAll="0"/>
    <pivotField dataField="1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 defaultSubtotal="0">
      <items count="14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6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Somme de quantité signé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Nom_du_Produit" xr10:uid="{00000000-0013-0000-FFFF-FFFF01000000}" sourceName="Nom du Produit">
  <pivotTables>
    <pivotTable tabId="7" name="Tableau croisé dynamique1"/>
  </pivotTables>
  <data>
    <tabular pivotCacheId="1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 du Produit" xr10:uid="{00000000-0014-0000-FFFF-FFFF01000000}" cache="Segment_Nom_du_Produit" caption="Nom du Produit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3" sqref="A3:B4"/>
    </sheetView>
  </sheetViews>
  <sheetFormatPr baseColWidth="10" defaultColWidth="8.88671875" defaultRowHeight="14.4" x14ac:dyDescent="0.3"/>
  <cols>
    <col min="1" max="2" width="14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122</v>
      </c>
    </row>
    <row r="3" spans="1:2" x14ac:dyDescent="0.3">
      <c r="A3" t="s">
        <v>4</v>
      </c>
      <c r="B3">
        <v>204</v>
      </c>
    </row>
    <row r="4" spans="1:2" x14ac:dyDescent="0.3">
      <c r="A4" t="s">
        <v>3</v>
      </c>
      <c r="B4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workbookViewId="0">
      <selection activeCell="O20" sqref="O20"/>
    </sheetView>
  </sheetViews>
  <sheetFormatPr baseColWidth="10" defaultRowHeight="14.4" x14ac:dyDescent="0.3"/>
  <cols>
    <col min="1" max="1" width="23.5546875" bestFit="1" customWidth="1"/>
    <col min="2" max="2" width="22.33203125" bestFit="1" customWidth="1"/>
    <col min="3" max="3" width="11.88671875" bestFit="1" customWidth="1"/>
    <col min="4" max="4" width="9.109375" customWidth="1"/>
    <col min="5" max="5" width="12.5546875" customWidth="1"/>
    <col min="6" max="6" width="4.33203125" customWidth="1"/>
    <col min="7" max="7" width="4.44140625" customWidth="1"/>
    <col min="8" max="8" width="4" customWidth="1"/>
    <col min="9" max="9" width="5" customWidth="1"/>
    <col min="10" max="10" width="4.88671875" customWidth="1"/>
    <col min="11" max="11" width="4.6640625" customWidth="1"/>
    <col min="12" max="12" width="4.33203125" customWidth="1"/>
    <col min="13" max="13" width="4.6640625" customWidth="1"/>
    <col min="14" max="14" width="12.5546875" bestFit="1" customWidth="1"/>
  </cols>
  <sheetData>
    <row r="1" spans="1:3" x14ac:dyDescent="0.3">
      <c r="A1" s="3" t="s">
        <v>36</v>
      </c>
      <c r="B1" s="3" t="s">
        <v>14</v>
      </c>
    </row>
    <row r="2" spans="1:3" x14ac:dyDescent="0.3">
      <c r="A2" s="3" t="s">
        <v>12</v>
      </c>
      <c r="B2" t="s">
        <v>2</v>
      </c>
      <c r="C2" t="s">
        <v>13</v>
      </c>
    </row>
    <row r="3" spans="1:3" x14ac:dyDescent="0.3">
      <c r="A3" s="4" t="s">
        <v>17</v>
      </c>
      <c r="B3" s="8">
        <v>-132</v>
      </c>
      <c r="C3" s="8">
        <v>-132</v>
      </c>
    </row>
    <row r="4" spans="1:3" x14ac:dyDescent="0.3">
      <c r="A4" s="4" t="s">
        <v>18</v>
      </c>
      <c r="B4" s="8">
        <v>148</v>
      </c>
      <c r="C4" s="8">
        <v>148</v>
      </c>
    </row>
    <row r="5" spans="1:3" x14ac:dyDescent="0.3">
      <c r="A5" s="4" t="s">
        <v>19</v>
      </c>
      <c r="B5" s="8">
        <v>61</v>
      </c>
      <c r="C5" s="8">
        <v>61</v>
      </c>
    </row>
    <row r="6" spans="1:3" x14ac:dyDescent="0.3">
      <c r="A6" s="4" t="s">
        <v>20</v>
      </c>
      <c r="B6" s="8">
        <v>-65</v>
      </c>
      <c r="C6" s="8">
        <v>-65</v>
      </c>
    </row>
    <row r="7" spans="1:3" x14ac:dyDescent="0.3">
      <c r="A7" s="4" t="s">
        <v>21</v>
      </c>
      <c r="B7" s="8">
        <v>32</v>
      </c>
      <c r="C7" s="8">
        <v>32</v>
      </c>
    </row>
    <row r="8" spans="1:3" x14ac:dyDescent="0.3">
      <c r="A8" s="4" t="s">
        <v>22</v>
      </c>
      <c r="B8" s="8">
        <v>-43</v>
      </c>
      <c r="C8" s="8">
        <v>-43</v>
      </c>
    </row>
    <row r="9" spans="1:3" x14ac:dyDescent="0.3">
      <c r="A9" s="4" t="s">
        <v>23</v>
      </c>
      <c r="B9" s="8">
        <v>95</v>
      </c>
      <c r="C9" s="8">
        <v>95</v>
      </c>
    </row>
    <row r="10" spans="1:3" x14ac:dyDescent="0.3">
      <c r="A10" s="4" t="s">
        <v>24</v>
      </c>
      <c r="B10" s="8">
        <v>-41</v>
      </c>
      <c r="C10" s="8">
        <v>-41</v>
      </c>
    </row>
    <row r="11" spans="1:3" x14ac:dyDescent="0.3">
      <c r="A11" s="4" t="s">
        <v>25</v>
      </c>
      <c r="B11" s="8">
        <v>-72</v>
      </c>
      <c r="C11" s="8">
        <v>-72</v>
      </c>
    </row>
    <row r="12" spans="1:3" x14ac:dyDescent="0.3">
      <c r="A12" s="4" t="s">
        <v>26</v>
      </c>
      <c r="B12" s="8">
        <v>-65</v>
      </c>
      <c r="C12" s="8">
        <v>-65</v>
      </c>
    </row>
    <row r="13" spans="1:3" x14ac:dyDescent="0.3">
      <c r="A13" s="4" t="s">
        <v>27</v>
      </c>
      <c r="B13" s="8">
        <v>49</v>
      </c>
      <c r="C13" s="8">
        <v>49</v>
      </c>
    </row>
    <row r="14" spans="1:3" x14ac:dyDescent="0.3">
      <c r="A14" s="4" t="s">
        <v>28</v>
      </c>
      <c r="B14" s="8">
        <v>-54</v>
      </c>
      <c r="C14" s="8">
        <v>-54</v>
      </c>
    </row>
    <row r="15" spans="1:3" x14ac:dyDescent="0.3">
      <c r="A15" s="4" t="s">
        <v>13</v>
      </c>
      <c r="B15" s="8">
        <v>-87</v>
      </c>
      <c r="C15" s="8">
        <v>-87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6"/>
  <sheetViews>
    <sheetView workbookViewId="0">
      <selection activeCell="E8" sqref="E8"/>
    </sheetView>
  </sheetViews>
  <sheetFormatPr baseColWidth="10" defaultColWidth="8.88671875" defaultRowHeight="14.4" x14ac:dyDescent="0.3"/>
  <cols>
    <col min="1" max="1" width="10.5546875" bestFit="1" customWidth="1"/>
    <col min="2" max="2" width="14.44140625" bestFit="1" customWidth="1"/>
    <col min="3" max="3" width="18.6640625" bestFit="1" customWidth="1"/>
    <col min="4" max="4" width="8.33203125" bestFit="1" customWidth="1"/>
    <col min="5" max="5" width="14.88671875" bestFit="1" customWidth="1"/>
  </cols>
  <sheetData>
    <row r="1" spans="1:5" x14ac:dyDescent="0.3">
      <c r="A1" s="1" t="s">
        <v>5</v>
      </c>
      <c r="B1" s="1" t="s">
        <v>0</v>
      </c>
      <c r="C1" s="1" t="s">
        <v>6</v>
      </c>
      <c r="D1" s="1" t="s">
        <v>7</v>
      </c>
      <c r="E1" s="6" t="s">
        <v>35</v>
      </c>
    </row>
    <row r="2" spans="1:5" x14ac:dyDescent="0.3">
      <c r="A2" s="2">
        <v>45292</v>
      </c>
      <c r="B2" t="s">
        <v>2</v>
      </c>
      <c r="C2" t="s">
        <v>9</v>
      </c>
      <c r="D2">
        <v>36</v>
      </c>
      <c r="E2">
        <f>IF(C2="Sortie",-1*D2,D2)</f>
        <v>-36</v>
      </c>
    </row>
    <row r="3" spans="1:5" x14ac:dyDescent="0.3">
      <c r="A3" s="2">
        <v>45296</v>
      </c>
      <c r="B3" t="s">
        <v>4</v>
      </c>
      <c r="C3" t="s">
        <v>8</v>
      </c>
      <c r="D3">
        <v>53</v>
      </c>
      <c r="E3">
        <f t="shared" ref="E3:E66" si="0">IF(C3="Sortie",-1*D3,D3)</f>
        <v>53</v>
      </c>
    </row>
    <row r="4" spans="1:5" x14ac:dyDescent="0.3">
      <c r="A4" s="2">
        <v>45297</v>
      </c>
      <c r="B4" t="s">
        <v>4</v>
      </c>
      <c r="C4" t="s">
        <v>9</v>
      </c>
      <c r="D4">
        <v>25</v>
      </c>
      <c r="E4">
        <f t="shared" si="0"/>
        <v>-25</v>
      </c>
    </row>
    <row r="5" spans="1:5" x14ac:dyDescent="0.3">
      <c r="A5" s="2">
        <v>45298</v>
      </c>
      <c r="B5" t="s">
        <v>2</v>
      </c>
      <c r="C5" t="s">
        <v>9</v>
      </c>
      <c r="D5">
        <v>53</v>
      </c>
      <c r="E5">
        <f t="shared" si="0"/>
        <v>-53</v>
      </c>
    </row>
    <row r="6" spans="1:5" x14ac:dyDescent="0.3">
      <c r="A6" s="2">
        <v>45301</v>
      </c>
      <c r="B6" t="s">
        <v>4</v>
      </c>
      <c r="C6" t="s">
        <v>8</v>
      </c>
      <c r="D6">
        <v>13</v>
      </c>
      <c r="E6">
        <f t="shared" si="0"/>
        <v>13</v>
      </c>
    </row>
    <row r="7" spans="1:5" x14ac:dyDescent="0.3">
      <c r="A7" s="2">
        <v>45303</v>
      </c>
      <c r="B7" t="s">
        <v>3</v>
      </c>
      <c r="C7" t="s">
        <v>8</v>
      </c>
      <c r="D7">
        <v>55</v>
      </c>
      <c r="E7">
        <f t="shared" si="0"/>
        <v>55</v>
      </c>
    </row>
    <row r="8" spans="1:5" x14ac:dyDescent="0.3">
      <c r="A8" s="2">
        <v>45307</v>
      </c>
      <c r="B8" t="s">
        <v>3</v>
      </c>
      <c r="C8" t="s">
        <v>8</v>
      </c>
      <c r="D8">
        <v>23</v>
      </c>
      <c r="E8">
        <f t="shared" si="0"/>
        <v>23</v>
      </c>
    </row>
    <row r="9" spans="1:5" x14ac:dyDescent="0.3">
      <c r="A9" s="2">
        <v>45311</v>
      </c>
      <c r="B9" t="s">
        <v>4</v>
      </c>
      <c r="C9" t="s">
        <v>8</v>
      </c>
      <c r="D9">
        <v>48</v>
      </c>
      <c r="E9">
        <f t="shared" si="0"/>
        <v>48</v>
      </c>
    </row>
    <row r="10" spans="1:5" x14ac:dyDescent="0.3">
      <c r="A10" s="2">
        <v>45316</v>
      </c>
      <c r="B10" t="s">
        <v>2</v>
      </c>
      <c r="C10" t="s">
        <v>9</v>
      </c>
      <c r="D10">
        <v>43</v>
      </c>
      <c r="E10">
        <f t="shared" si="0"/>
        <v>-43</v>
      </c>
    </row>
    <row r="11" spans="1:5" x14ac:dyDescent="0.3">
      <c r="A11" s="2">
        <v>45321</v>
      </c>
      <c r="B11" t="s">
        <v>3</v>
      </c>
      <c r="C11" t="s">
        <v>9</v>
      </c>
      <c r="D11">
        <v>45</v>
      </c>
      <c r="E11">
        <f t="shared" si="0"/>
        <v>-45</v>
      </c>
    </row>
    <row r="12" spans="1:5" x14ac:dyDescent="0.3">
      <c r="A12" s="2">
        <v>45325</v>
      </c>
      <c r="B12" t="s">
        <v>3</v>
      </c>
      <c r="C12" t="s">
        <v>9</v>
      </c>
      <c r="D12">
        <v>28</v>
      </c>
      <c r="E12">
        <f t="shared" si="0"/>
        <v>-28</v>
      </c>
    </row>
    <row r="13" spans="1:5" x14ac:dyDescent="0.3">
      <c r="A13" s="2">
        <v>45327</v>
      </c>
      <c r="B13" t="s">
        <v>3</v>
      </c>
      <c r="C13" t="s">
        <v>9</v>
      </c>
      <c r="D13">
        <v>17</v>
      </c>
      <c r="E13">
        <f t="shared" si="0"/>
        <v>-17</v>
      </c>
    </row>
    <row r="14" spans="1:5" x14ac:dyDescent="0.3">
      <c r="A14" s="2">
        <v>45330</v>
      </c>
      <c r="B14" t="s">
        <v>4</v>
      </c>
      <c r="C14" t="s">
        <v>8</v>
      </c>
      <c r="D14">
        <v>19</v>
      </c>
      <c r="E14">
        <f t="shared" si="0"/>
        <v>19</v>
      </c>
    </row>
    <row r="15" spans="1:5" x14ac:dyDescent="0.3">
      <c r="A15" s="2">
        <v>45334</v>
      </c>
      <c r="B15" t="s">
        <v>4</v>
      </c>
      <c r="C15" t="s">
        <v>9</v>
      </c>
      <c r="D15">
        <v>52</v>
      </c>
      <c r="E15">
        <f t="shared" si="0"/>
        <v>-52</v>
      </c>
    </row>
    <row r="16" spans="1:5" x14ac:dyDescent="0.3">
      <c r="A16" s="2">
        <v>45335</v>
      </c>
      <c r="B16" t="s">
        <v>3</v>
      </c>
      <c r="C16" t="s">
        <v>9</v>
      </c>
      <c r="D16">
        <v>49</v>
      </c>
      <c r="E16">
        <f t="shared" si="0"/>
        <v>-49</v>
      </c>
    </row>
    <row r="17" spans="1:5" x14ac:dyDescent="0.3">
      <c r="A17" s="2">
        <v>45338</v>
      </c>
      <c r="B17" t="s">
        <v>3</v>
      </c>
      <c r="C17" t="s">
        <v>9</v>
      </c>
      <c r="D17">
        <v>48</v>
      </c>
      <c r="E17">
        <f t="shared" si="0"/>
        <v>-48</v>
      </c>
    </row>
    <row r="18" spans="1:5" x14ac:dyDescent="0.3">
      <c r="A18" s="2">
        <v>45339</v>
      </c>
      <c r="B18" t="s">
        <v>2</v>
      </c>
      <c r="C18" t="s">
        <v>8</v>
      </c>
      <c r="D18">
        <v>48</v>
      </c>
      <c r="E18">
        <f t="shared" si="0"/>
        <v>48</v>
      </c>
    </row>
    <row r="19" spans="1:5" x14ac:dyDescent="0.3">
      <c r="A19" s="2">
        <v>45340</v>
      </c>
      <c r="B19" t="s">
        <v>3</v>
      </c>
      <c r="C19" t="s">
        <v>9</v>
      </c>
      <c r="D19">
        <v>52</v>
      </c>
      <c r="E19">
        <f t="shared" si="0"/>
        <v>-52</v>
      </c>
    </row>
    <row r="20" spans="1:5" x14ac:dyDescent="0.3">
      <c r="A20" s="2">
        <v>45342</v>
      </c>
      <c r="B20" t="s">
        <v>2</v>
      </c>
      <c r="C20" t="s">
        <v>8</v>
      </c>
      <c r="D20">
        <v>51</v>
      </c>
      <c r="E20">
        <f t="shared" si="0"/>
        <v>51</v>
      </c>
    </row>
    <row r="21" spans="1:5" x14ac:dyDescent="0.3">
      <c r="A21" s="2">
        <v>45345</v>
      </c>
      <c r="B21" t="s">
        <v>3</v>
      </c>
      <c r="C21" t="s">
        <v>9</v>
      </c>
      <c r="D21">
        <v>43</v>
      </c>
      <c r="E21">
        <f t="shared" si="0"/>
        <v>-43</v>
      </c>
    </row>
    <row r="22" spans="1:5" x14ac:dyDescent="0.3">
      <c r="A22" s="2">
        <v>45348</v>
      </c>
      <c r="B22" t="s">
        <v>2</v>
      </c>
      <c r="C22" t="s">
        <v>8</v>
      </c>
      <c r="D22">
        <v>49</v>
      </c>
      <c r="E22">
        <f t="shared" si="0"/>
        <v>49</v>
      </c>
    </row>
    <row r="23" spans="1:5" x14ac:dyDescent="0.3">
      <c r="A23" s="2">
        <v>45349</v>
      </c>
      <c r="B23" t="s">
        <v>3</v>
      </c>
      <c r="C23" t="s">
        <v>9</v>
      </c>
      <c r="D23">
        <v>25</v>
      </c>
      <c r="E23">
        <f t="shared" si="0"/>
        <v>-25</v>
      </c>
    </row>
    <row r="24" spans="1:5" x14ac:dyDescent="0.3">
      <c r="A24" s="2">
        <v>45354</v>
      </c>
      <c r="B24" t="s">
        <v>4</v>
      </c>
      <c r="C24" t="s">
        <v>9</v>
      </c>
      <c r="D24">
        <v>22</v>
      </c>
      <c r="E24">
        <f t="shared" si="0"/>
        <v>-22</v>
      </c>
    </row>
    <row r="25" spans="1:5" x14ac:dyDescent="0.3">
      <c r="A25" s="2">
        <v>45357</v>
      </c>
      <c r="B25" t="s">
        <v>4</v>
      </c>
      <c r="C25" t="s">
        <v>8</v>
      </c>
      <c r="D25">
        <v>50</v>
      </c>
      <c r="E25">
        <f t="shared" si="0"/>
        <v>50</v>
      </c>
    </row>
    <row r="26" spans="1:5" x14ac:dyDescent="0.3">
      <c r="A26" s="2">
        <v>45360</v>
      </c>
      <c r="B26" t="s">
        <v>3</v>
      </c>
      <c r="C26" t="s">
        <v>8</v>
      </c>
      <c r="D26">
        <v>51</v>
      </c>
      <c r="E26">
        <f t="shared" si="0"/>
        <v>51</v>
      </c>
    </row>
    <row r="27" spans="1:5" x14ac:dyDescent="0.3">
      <c r="A27" s="2">
        <v>45365</v>
      </c>
      <c r="B27" t="s">
        <v>4</v>
      </c>
      <c r="C27" t="s">
        <v>8</v>
      </c>
      <c r="D27">
        <v>17</v>
      </c>
      <c r="E27">
        <f t="shared" si="0"/>
        <v>17</v>
      </c>
    </row>
    <row r="28" spans="1:5" x14ac:dyDescent="0.3">
      <c r="A28" s="2">
        <v>45368</v>
      </c>
      <c r="B28" t="s">
        <v>2</v>
      </c>
      <c r="C28" t="s">
        <v>8</v>
      </c>
      <c r="D28">
        <v>58</v>
      </c>
      <c r="E28">
        <f t="shared" si="0"/>
        <v>58</v>
      </c>
    </row>
    <row r="29" spans="1:5" x14ac:dyDescent="0.3">
      <c r="A29" s="2">
        <v>45369</v>
      </c>
      <c r="B29" t="s">
        <v>4</v>
      </c>
      <c r="C29" t="s">
        <v>9</v>
      </c>
      <c r="D29">
        <v>38</v>
      </c>
      <c r="E29">
        <f t="shared" si="0"/>
        <v>-38</v>
      </c>
    </row>
    <row r="30" spans="1:5" x14ac:dyDescent="0.3">
      <c r="A30" s="2">
        <v>45372</v>
      </c>
      <c r="B30" t="s">
        <v>2</v>
      </c>
      <c r="C30" t="s">
        <v>8</v>
      </c>
      <c r="D30">
        <v>53</v>
      </c>
      <c r="E30">
        <f t="shared" si="0"/>
        <v>53</v>
      </c>
    </row>
    <row r="31" spans="1:5" x14ac:dyDescent="0.3">
      <c r="A31" s="2">
        <v>45377</v>
      </c>
      <c r="B31" t="s">
        <v>4</v>
      </c>
      <c r="C31" t="s">
        <v>9</v>
      </c>
      <c r="D31">
        <v>13</v>
      </c>
      <c r="E31">
        <f t="shared" si="0"/>
        <v>-13</v>
      </c>
    </row>
    <row r="32" spans="1:5" x14ac:dyDescent="0.3">
      <c r="A32" s="2">
        <v>45380</v>
      </c>
      <c r="B32" t="s">
        <v>2</v>
      </c>
      <c r="C32" t="s">
        <v>9</v>
      </c>
      <c r="D32">
        <v>50</v>
      </c>
      <c r="E32">
        <f t="shared" si="0"/>
        <v>-50</v>
      </c>
    </row>
    <row r="33" spans="1:5" x14ac:dyDescent="0.3">
      <c r="A33" s="2">
        <v>45385</v>
      </c>
      <c r="B33" t="s">
        <v>2</v>
      </c>
      <c r="C33" t="s">
        <v>9</v>
      </c>
      <c r="D33">
        <v>42</v>
      </c>
      <c r="E33">
        <f t="shared" si="0"/>
        <v>-42</v>
      </c>
    </row>
    <row r="34" spans="1:5" x14ac:dyDescent="0.3">
      <c r="A34" s="2">
        <v>45388</v>
      </c>
      <c r="B34" t="s">
        <v>4</v>
      </c>
      <c r="C34" t="s">
        <v>8</v>
      </c>
      <c r="D34">
        <v>35</v>
      </c>
      <c r="E34">
        <f t="shared" si="0"/>
        <v>35</v>
      </c>
    </row>
    <row r="35" spans="1:5" x14ac:dyDescent="0.3">
      <c r="A35" s="2">
        <v>45389</v>
      </c>
      <c r="B35" t="s">
        <v>2</v>
      </c>
      <c r="C35" t="s">
        <v>9</v>
      </c>
      <c r="D35">
        <v>42</v>
      </c>
      <c r="E35">
        <f t="shared" si="0"/>
        <v>-42</v>
      </c>
    </row>
    <row r="36" spans="1:5" x14ac:dyDescent="0.3">
      <c r="A36" s="2">
        <v>45390</v>
      </c>
      <c r="B36" t="s">
        <v>4</v>
      </c>
      <c r="C36" t="s">
        <v>8</v>
      </c>
      <c r="D36">
        <v>10</v>
      </c>
      <c r="E36">
        <f t="shared" si="0"/>
        <v>10</v>
      </c>
    </row>
    <row r="37" spans="1:5" x14ac:dyDescent="0.3">
      <c r="A37" s="2">
        <v>45392</v>
      </c>
      <c r="B37" t="s">
        <v>3</v>
      </c>
      <c r="C37" t="s">
        <v>8</v>
      </c>
      <c r="D37">
        <v>31</v>
      </c>
      <c r="E37">
        <f t="shared" si="0"/>
        <v>31</v>
      </c>
    </row>
    <row r="38" spans="1:5" x14ac:dyDescent="0.3">
      <c r="A38" s="2">
        <v>45395</v>
      </c>
      <c r="B38" t="s">
        <v>3</v>
      </c>
      <c r="C38" t="s">
        <v>8</v>
      </c>
      <c r="D38">
        <v>34</v>
      </c>
      <c r="E38">
        <f t="shared" si="0"/>
        <v>34</v>
      </c>
    </row>
    <row r="39" spans="1:5" x14ac:dyDescent="0.3">
      <c r="A39" s="2">
        <v>45398</v>
      </c>
      <c r="B39" t="s">
        <v>3</v>
      </c>
      <c r="C39" t="s">
        <v>8</v>
      </c>
      <c r="D39">
        <v>32</v>
      </c>
      <c r="E39">
        <f t="shared" si="0"/>
        <v>32</v>
      </c>
    </row>
    <row r="40" spans="1:5" x14ac:dyDescent="0.3">
      <c r="A40" s="2">
        <v>45399</v>
      </c>
      <c r="B40" t="s">
        <v>4</v>
      </c>
      <c r="C40" t="s">
        <v>9</v>
      </c>
      <c r="D40">
        <v>30</v>
      </c>
      <c r="E40">
        <f t="shared" si="0"/>
        <v>-30</v>
      </c>
    </row>
    <row r="41" spans="1:5" x14ac:dyDescent="0.3">
      <c r="A41" s="2">
        <v>45403</v>
      </c>
      <c r="B41" t="s">
        <v>2</v>
      </c>
      <c r="C41" t="s">
        <v>8</v>
      </c>
      <c r="D41">
        <v>19</v>
      </c>
      <c r="E41">
        <f t="shared" si="0"/>
        <v>19</v>
      </c>
    </row>
    <row r="42" spans="1:5" x14ac:dyDescent="0.3">
      <c r="A42" s="2">
        <v>45406</v>
      </c>
      <c r="B42" t="s">
        <v>4</v>
      </c>
      <c r="C42" t="s">
        <v>9</v>
      </c>
      <c r="D42">
        <v>10</v>
      </c>
      <c r="E42">
        <f t="shared" si="0"/>
        <v>-10</v>
      </c>
    </row>
    <row r="43" spans="1:5" x14ac:dyDescent="0.3">
      <c r="A43" s="2">
        <v>45410</v>
      </c>
      <c r="B43" t="s">
        <v>3</v>
      </c>
      <c r="C43" t="s">
        <v>8</v>
      </c>
      <c r="D43">
        <v>40</v>
      </c>
      <c r="E43">
        <f t="shared" si="0"/>
        <v>40</v>
      </c>
    </row>
    <row r="44" spans="1:5" x14ac:dyDescent="0.3">
      <c r="A44" s="2">
        <v>45412</v>
      </c>
      <c r="B44" t="s">
        <v>4</v>
      </c>
      <c r="C44" t="s">
        <v>9</v>
      </c>
      <c r="D44">
        <v>11</v>
      </c>
      <c r="E44">
        <f t="shared" si="0"/>
        <v>-11</v>
      </c>
    </row>
    <row r="45" spans="1:5" x14ac:dyDescent="0.3">
      <c r="A45" s="2">
        <v>45415</v>
      </c>
      <c r="B45" t="s">
        <v>2</v>
      </c>
      <c r="C45" t="s">
        <v>8</v>
      </c>
      <c r="D45">
        <v>49</v>
      </c>
      <c r="E45">
        <f t="shared" si="0"/>
        <v>49</v>
      </c>
    </row>
    <row r="46" spans="1:5" x14ac:dyDescent="0.3">
      <c r="A46" s="2">
        <v>45420</v>
      </c>
      <c r="B46" t="s">
        <v>4</v>
      </c>
      <c r="C46" t="s">
        <v>8</v>
      </c>
      <c r="D46">
        <v>28</v>
      </c>
      <c r="E46">
        <f t="shared" si="0"/>
        <v>28</v>
      </c>
    </row>
    <row r="47" spans="1:5" x14ac:dyDescent="0.3">
      <c r="A47" s="2">
        <v>45424</v>
      </c>
      <c r="B47" t="s">
        <v>2</v>
      </c>
      <c r="C47" t="s">
        <v>9</v>
      </c>
      <c r="D47">
        <v>48</v>
      </c>
      <c r="E47">
        <f t="shared" si="0"/>
        <v>-48</v>
      </c>
    </row>
    <row r="48" spans="1:5" x14ac:dyDescent="0.3">
      <c r="A48" s="2">
        <v>45426</v>
      </c>
      <c r="B48" t="s">
        <v>4</v>
      </c>
      <c r="C48" t="s">
        <v>8</v>
      </c>
      <c r="D48">
        <v>58</v>
      </c>
      <c r="E48">
        <f t="shared" si="0"/>
        <v>58</v>
      </c>
    </row>
    <row r="49" spans="1:5" x14ac:dyDescent="0.3">
      <c r="A49" s="2">
        <v>45431</v>
      </c>
      <c r="B49" t="s">
        <v>2</v>
      </c>
      <c r="C49" t="s">
        <v>8</v>
      </c>
      <c r="D49">
        <v>31</v>
      </c>
      <c r="E49">
        <f t="shared" si="0"/>
        <v>31</v>
      </c>
    </row>
    <row r="50" spans="1:5" x14ac:dyDescent="0.3">
      <c r="A50" s="2">
        <v>45434</v>
      </c>
      <c r="B50" t="s">
        <v>4</v>
      </c>
      <c r="C50" t="s">
        <v>8</v>
      </c>
      <c r="D50">
        <v>53</v>
      </c>
      <c r="E50">
        <f t="shared" si="0"/>
        <v>53</v>
      </c>
    </row>
    <row r="51" spans="1:5" x14ac:dyDescent="0.3">
      <c r="A51" s="2">
        <v>45436</v>
      </c>
      <c r="B51" t="s">
        <v>4</v>
      </c>
      <c r="C51" t="s">
        <v>9</v>
      </c>
      <c r="D51">
        <v>33</v>
      </c>
      <c r="E51">
        <f t="shared" si="0"/>
        <v>-33</v>
      </c>
    </row>
    <row r="52" spans="1:5" x14ac:dyDescent="0.3">
      <c r="A52" s="2">
        <v>45438</v>
      </c>
      <c r="B52" t="s">
        <v>4</v>
      </c>
      <c r="C52" t="s">
        <v>8</v>
      </c>
      <c r="D52">
        <v>35</v>
      </c>
      <c r="E52">
        <f t="shared" si="0"/>
        <v>35</v>
      </c>
    </row>
    <row r="53" spans="1:5" x14ac:dyDescent="0.3">
      <c r="A53" s="2">
        <v>45441</v>
      </c>
      <c r="B53" t="s">
        <v>3</v>
      </c>
      <c r="C53" t="s">
        <v>9</v>
      </c>
      <c r="D53">
        <v>21</v>
      </c>
      <c r="E53">
        <f t="shared" si="0"/>
        <v>-21</v>
      </c>
    </row>
    <row r="54" spans="1:5" x14ac:dyDescent="0.3">
      <c r="A54" s="2">
        <v>45442</v>
      </c>
      <c r="B54" t="s">
        <v>4</v>
      </c>
      <c r="C54" t="s">
        <v>9</v>
      </c>
      <c r="D54">
        <v>28</v>
      </c>
      <c r="E54">
        <f t="shared" si="0"/>
        <v>-28</v>
      </c>
    </row>
    <row r="55" spans="1:5" x14ac:dyDescent="0.3">
      <c r="A55" s="2">
        <v>45447</v>
      </c>
      <c r="B55" t="s">
        <v>2</v>
      </c>
      <c r="C55" t="s">
        <v>8</v>
      </c>
      <c r="D55">
        <v>10</v>
      </c>
      <c r="E55">
        <f t="shared" si="0"/>
        <v>10</v>
      </c>
    </row>
    <row r="56" spans="1:5" x14ac:dyDescent="0.3">
      <c r="A56" s="2">
        <v>45450</v>
      </c>
      <c r="B56" t="s">
        <v>2</v>
      </c>
      <c r="C56" t="s">
        <v>9</v>
      </c>
      <c r="D56">
        <v>25</v>
      </c>
      <c r="E56">
        <f t="shared" si="0"/>
        <v>-25</v>
      </c>
    </row>
    <row r="57" spans="1:5" x14ac:dyDescent="0.3">
      <c r="A57" s="2">
        <v>45452</v>
      </c>
      <c r="B57" t="s">
        <v>3</v>
      </c>
      <c r="C57" t="s">
        <v>8</v>
      </c>
      <c r="D57">
        <v>31</v>
      </c>
      <c r="E57">
        <f t="shared" si="0"/>
        <v>31</v>
      </c>
    </row>
    <row r="58" spans="1:5" x14ac:dyDescent="0.3">
      <c r="A58" s="2">
        <v>45457</v>
      </c>
      <c r="B58" t="s">
        <v>4</v>
      </c>
      <c r="C58" t="s">
        <v>8</v>
      </c>
      <c r="D58">
        <v>24</v>
      </c>
      <c r="E58">
        <f t="shared" si="0"/>
        <v>24</v>
      </c>
    </row>
    <row r="59" spans="1:5" x14ac:dyDescent="0.3">
      <c r="A59" s="2">
        <v>45460</v>
      </c>
      <c r="B59" t="s">
        <v>2</v>
      </c>
      <c r="C59" t="s">
        <v>9</v>
      </c>
      <c r="D59">
        <v>28</v>
      </c>
      <c r="E59">
        <f t="shared" si="0"/>
        <v>-28</v>
      </c>
    </row>
    <row r="60" spans="1:5" x14ac:dyDescent="0.3">
      <c r="A60" s="2">
        <v>45465</v>
      </c>
      <c r="B60" t="s">
        <v>4</v>
      </c>
      <c r="C60" t="s">
        <v>8</v>
      </c>
      <c r="D60">
        <v>56</v>
      </c>
      <c r="E60">
        <f t="shared" si="0"/>
        <v>56</v>
      </c>
    </row>
    <row r="61" spans="1:5" x14ac:dyDescent="0.3">
      <c r="A61" s="2">
        <v>45466</v>
      </c>
      <c r="B61" t="s">
        <v>3</v>
      </c>
      <c r="C61" t="s">
        <v>8</v>
      </c>
      <c r="D61">
        <v>31</v>
      </c>
      <c r="E61">
        <f t="shared" si="0"/>
        <v>31</v>
      </c>
    </row>
    <row r="62" spans="1:5" x14ac:dyDescent="0.3">
      <c r="A62" s="2">
        <v>45468</v>
      </c>
      <c r="B62" t="s">
        <v>4</v>
      </c>
      <c r="C62" t="s">
        <v>9</v>
      </c>
      <c r="D62">
        <v>11</v>
      </c>
      <c r="E62">
        <f t="shared" si="0"/>
        <v>-11</v>
      </c>
    </row>
    <row r="63" spans="1:5" x14ac:dyDescent="0.3">
      <c r="A63" s="2">
        <v>45472</v>
      </c>
      <c r="B63" t="s">
        <v>3</v>
      </c>
      <c r="C63" t="s">
        <v>8</v>
      </c>
      <c r="D63">
        <v>39</v>
      </c>
      <c r="E63">
        <f t="shared" si="0"/>
        <v>39</v>
      </c>
    </row>
    <row r="64" spans="1:5" x14ac:dyDescent="0.3">
      <c r="A64" s="2">
        <v>45476</v>
      </c>
      <c r="B64" t="s">
        <v>3</v>
      </c>
      <c r="C64" t="s">
        <v>8</v>
      </c>
      <c r="D64">
        <v>52</v>
      </c>
      <c r="E64">
        <f t="shared" si="0"/>
        <v>52</v>
      </c>
    </row>
    <row r="65" spans="1:5" x14ac:dyDescent="0.3">
      <c r="A65" s="2">
        <v>45479</v>
      </c>
      <c r="B65" t="s">
        <v>3</v>
      </c>
      <c r="C65" t="s">
        <v>9</v>
      </c>
      <c r="D65">
        <v>14</v>
      </c>
      <c r="E65">
        <f t="shared" si="0"/>
        <v>-14</v>
      </c>
    </row>
    <row r="66" spans="1:5" x14ac:dyDescent="0.3">
      <c r="A66" s="2">
        <v>45484</v>
      </c>
      <c r="B66" t="s">
        <v>3</v>
      </c>
      <c r="C66" t="s">
        <v>8</v>
      </c>
      <c r="D66">
        <v>36</v>
      </c>
      <c r="E66">
        <f t="shared" si="0"/>
        <v>36</v>
      </c>
    </row>
    <row r="67" spans="1:5" x14ac:dyDescent="0.3">
      <c r="A67" s="2">
        <v>45489</v>
      </c>
      <c r="B67" t="s">
        <v>3</v>
      </c>
      <c r="C67" t="s">
        <v>8</v>
      </c>
      <c r="D67">
        <v>56</v>
      </c>
      <c r="E67">
        <f t="shared" ref="E67:E126" si="1">IF(C67="Sortie",-1*D67,D67)</f>
        <v>56</v>
      </c>
    </row>
    <row r="68" spans="1:5" x14ac:dyDescent="0.3">
      <c r="A68" s="2">
        <v>45492</v>
      </c>
      <c r="B68" t="s">
        <v>3</v>
      </c>
      <c r="C68" t="s">
        <v>9</v>
      </c>
      <c r="D68">
        <v>27</v>
      </c>
      <c r="E68">
        <f t="shared" si="1"/>
        <v>-27</v>
      </c>
    </row>
    <row r="69" spans="1:5" x14ac:dyDescent="0.3">
      <c r="A69" s="2">
        <v>45493</v>
      </c>
      <c r="B69" t="s">
        <v>2</v>
      </c>
      <c r="C69" t="s">
        <v>8</v>
      </c>
      <c r="D69">
        <v>37</v>
      </c>
      <c r="E69">
        <f t="shared" si="1"/>
        <v>37</v>
      </c>
    </row>
    <row r="70" spans="1:5" x14ac:dyDescent="0.3">
      <c r="A70" s="2">
        <v>45494</v>
      </c>
      <c r="B70" t="s">
        <v>4</v>
      </c>
      <c r="C70" t="s">
        <v>9</v>
      </c>
      <c r="D70">
        <v>32</v>
      </c>
      <c r="E70">
        <f t="shared" si="1"/>
        <v>-32</v>
      </c>
    </row>
    <row r="71" spans="1:5" x14ac:dyDescent="0.3">
      <c r="A71" s="2">
        <v>45498</v>
      </c>
      <c r="B71" t="s">
        <v>3</v>
      </c>
      <c r="C71" t="s">
        <v>9</v>
      </c>
      <c r="D71">
        <v>18</v>
      </c>
      <c r="E71">
        <f t="shared" si="1"/>
        <v>-18</v>
      </c>
    </row>
    <row r="72" spans="1:5" x14ac:dyDescent="0.3">
      <c r="A72" s="2">
        <v>45500</v>
      </c>
      <c r="B72" t="s">
        <v>2</v>
      </c>
      <c r="C72" t="s">
        <v>8</v>
      </c>
      <c r="D72">
        <v>21</v>
      </c>
      <c r="E72">
        <f t="shared" si="1"/>
        <v>21</v>
      </c>
    </row>
    <row r="73" spans="1:5" x14ac:dyDescent="0.3">
      <c r="A73" s="2">
        <v>45501</v>
      </c>
      <c r="B73" t="s">
        <v>2</v>
      </c>
      <c r="C73" t="s">
        <v>8</v>
      </c>
      <c r="D73">
        <v>37</v>
      </c>
      <c r="E73">
        <f t="shared" si="1"/>
        <v>37</v>
      </c>
    </row>
    <row r="74" spans="1:5" x14ac:dyDescent="0.3">
      <c r="A74" s="2">
        <v>45505</v>
      </c>
      <c r="B74" t="s">
        <v>4</v>
      </c>
      <c r="C74" t="s">
        <v>8</v>
      </c>
      <c r="D74">
        <v>40</v>
      </c>
      <c r="E74">
        <f t="shared" si="1"/>
        <v>40</v>
      </c>
    </row>
    <row r="75" spans="1:5" x14ac:dyDescent="0.3">
      <c r="A75" s="2">
        <v>45510</v>
      </c>
      <c r="B75" t="s">
        <v>3</v>
      </c>
      <c r="C75" t="s">
        <v>9</v>
      </c>
      <c r="D75">
        <v>41</v>
      </c>
      <c r="E75">
        <f t="shared" si="1"/>
        <v>-41</v>
      </c>
    </row>
    <row r="76" spans="1:5" x14ac:dyDescent="0.3">
      <c r="A76" s="2">
        <v>45511</v>
      </c>
      <c r="B76" t="s">
        <v>4</v>
      </c>
      <c r="C76" t="s">
        <v>8</v>
      </c>
      <c r="D76">
        <v>23</v>
      </c>
      <c r="E76">
        <f t="shared" si="1"/>
        <v>23</v>
      </c>
    </row>
    <row r="77" spans="1:5" x14ac:dyDescent="0.3">
      <c r="A77" s="2">
        <v>45514</v>
      </c>
      <c r="B77" t="s">
        <v>3</v>
      </c>
      <c r="C77" t="s">
        <v>9</v>
      </c>
      <c r="D77">
        <v>33</v>
      </c>
      <c r="E77">
        <f t="shared" si="1"/>
        <v>-33</v>
      </c>
    </row>
    <row r="78" spans="1:5" x14ac:dyDescent="0.3">
      <c r="A78" s="2">
        <v>45518</v>
      </c>
      <c r="B78" t="s">
        <v>3</v>
      </c>
      <c r="C78" t="s">
        <v>9</v>
      </c>
      <c r="D78">
        <v>27</v>
      </c>
      <c r="E78">
        <f t="shared" si="1"/>
        <v>-27</v>
      </c>
    </row>
    <row r="79" spans="1:5" x14ac:dyDescent="0.3">
      <c r="A79" s="2">
        <v>45522</v>
      </c>
      <c r="B79" t="s">
        <v>3</v>
      </c>
      <c r="C79" t="s">
        <v>9</v>
      </c>
      <c r="D79">
        <v>60</v>
      </c>
      <c r="E79">
        <f t="shared" si="1"/>
        <v>-60</v>
      </c>
    </row>
    <row r="80" spans="1:5" x14ac:dyDescent="0.3">
      <c r="A80" s="2">
        <v>45526</v>
      </c>
      <c r="B80" t="s">
        <v>4</v>
      </c>
      <c r="C80" t="s">
        <v>9</v>
      </c>
      <c r="D80">
        <v>11</v>
      </c>
      <c r="E80">
        <f t="shared" si="1"/>
        <v>-11</v>
      </c>
    </row>
    <row r="81" spans="1:5" x14ac:dyDescent="0.3">
      <c r="A81" s="2">
        <v>45528</v>
      </c>
      <c r="B81" t="s">
        <v>2</v>
      </c>
      <c r="C81" t="s">
        <v>9</v>
      </c>
      <c r="D81">
        <v>41</v>
      </c>
      <c r="E81">
        <f t="shared" si="1"/>
        <v>-41</v>
      </c>
    </row>
    <row r="82" spans="1:5" x14ac:dyDescent="0.3">
      <c r="A82" s="2">
        <v>45532</v>
      </c>
      <c r="B82" t="s">
        <v>4</v>
      </c>
      <c r="C82" t="s">
        <v>8</v>
      </c>
      <c r="D82">
        <v>31</v>
      </c>
      <c r="E82">
        <f t="shared" si="1"/>
        <v>31</v>
      </c>
    </row>
    <row r="83" spans="1:5" x14ac:dyDescent="0.3">
      <c r="A83" s="2">
        <v>45535</v>
      </c>
      <c r="B83" t="s">
        <v>4</v>
      </c>
      <c r="C83" t="s">
        <v>9</v>
      </c>
      <c r="D83">
        <v>52</v>
      </c>
      <c r="E83">
        <f t="shared" si="1"/>
        <v>-52</v>
      </c>
    </row>
    <row r="84" spans="1:5" x14ac:dyDescent="0.3">
      <c r="A84" s="2">
        <v>45538</v>
      </c>
      <c r="B84" t="s">
        <v>2</v>
      </c>
      <c r="C84" t="s">
        <v>9</v>
      </c>
      <c r="D84">
        <v>37</v>
      </c>
      <c r="E84">
        <f t="shared" si="1"/>
        <v>-37</v>
      </c>
    </row>
    <row r="85" spans="1:5" x14ac:dyDescent="0.3">
      <c r="A85" s="2">
        <v>45539</v>
      </c>
      <c r="B85" t="s">
        <v>4</v>
      </c>
      <c r="C85" t="s">
        <v>8</v>
      </c>
      <c r="D85">
        <v>17</v>
      </c>
      <c r="E85">
        <f t="shared" si="1"/>
        <v>17</v>
      </c>
    </row>
    <row r="86" spans="1:5" x14ac:dyDescent="0.3">
      <c r="A86" s="2">
        <v>45542</v>
      </c>
      <c r="B86" t="s">
        <v>4</v>
      </c>
      <c r="C86" t="s">
        <v>9</v>
      </c>
      <c r="D86">
        <v>48</v>
      </c>
      <c r="E86">
        <f t="shared" si="1"/>
        <v>-48</v>
      </c>
    </row>
    <row r="87" spans="1:5" x14ac:dyDescent="0.3">
      <c r="A87" s="2">
        <v>45546</v>
      </c>
      <c r="B87" t="s">
        <v>4</v>
      </c>
      <c r="C87" t="s">
        <v>9</v>
      </c>
      <c r="D87">
        <v>42</v>
      </c>
      <c r="E87">
        <f t="shared" si="1"/>
        <v>-42</v>
      </c>
    </row>
    <row r="88" spans="1:5" x14ac:dyDescent="0.3">
      <c r="A88" s="2">
        <v>45548</v>
      </c>
      <c r="B88" t="s">
        <v>2</v>
      </c>
      <c r="C88" t="s">
        <v>8</v>
      </c>
      <c r="D88">
        <v>35</v>
      </c>
      <c r="E88">
        <f t="shared" si="1"/>
        <v>35</v>
      </c>
    </row>
    <row r="89" spans="1:5" x14ac:dyDescent="0.3">
      <c r="A89" s="2">
        <v>45553</v>
      </c>
      <c r="B89" t="s">
        <v>2</v>
      </c>
      <c r="C89" t="s">
        <v>9</v>
      </c>
      <c r="D89">
        <v>49</v>
      </c>
      <c r="E89">
        <f t="shared" si="1"/>
        <v>-49</v>
      </c>
    </row>
    <row r="90" spans="1:5" x14ac:dyDescent="0.3">
      <c r="A90" s="2">
        <v>45558</v>
      </c>
      <c r="B90" t="s">
        <v>3</v>
      </c>
      <c r="C90" t="s">
        <v>8</v>
      </c>
      <c r="D90">
        <v>12</v>
      </c>
      <c r="E90">
        <f t="shared" si="1"/>
        <v>12</v>
      </c>
    </row>
    <row r="91" spans="1:5" x14ac:dyDescent="0.3">
      <c r="A91" s="2">
        <v>45559</v>
      </c>
      <c r="B91" t="s">
        <v>3</v>
      </c>
      <c r="C91" t="s">
        <v>9</v>
      </c>
      <c r="D91">
        <v>44</v>
      </c>
      <c r="E91">
        <f t="shared" si="1"/>
        <v>-44</v>
      </c>
    </row>
    <row r="92" spans="1:5" x14ac:dyDescent="0.3">
      <c r="A92" s="2">
        <v>45563</v>
      </c>
      <c r="B92" t="s">
        <v>2</v>
      </c>
      <c r="C92" t="s">
        <v>9</v>
      </c>
      <c r="D92">
        <v>21</v>
      </c>
      <c r="E92">
        <f t="shared" si="1"/>
        <v>-21</v>
      </c>
    </row>
    <row r="93" spans="1:5" x14ac:dyDescent="0.3">
      <c r="A93" s="2">
        <v>45566</v>
      </c>
      <c r="B93" t="s">
        <v>4</v>
      </c>
      <c r="C93" t="s">
        <v>9</v>
      </c>
      <c r="D93">
        <v>50</v>
      </c>
      <c r="E93">
        <f t="shared" si="1"/>
        <v>-50</v>
      </c>
    </row>
    <row r="94" spans="1:5" x14ac:dyDescent="0.3">
      <c r="A94" s="2">
        <v>45571</v>
      </c>
      <c r="B94" t="s">
        <v>3</v>
      </c>
      <c r="C94" t="s">
        <v>9</v>
      </c>
      <c r="D94">
        <v>19</v>
      </c>
      <c r="E94">
        <f t="shared" si="1"/>
        <v>-19</v>
      </c>
    </row>
    <row r="95" spans="1:5" x14ac:dyDescent="0.3">
      <c r="A95" s="2">
        <v>45574</v>
      </c>
      <c r="B95" t="s">
        <v>2</v>
      </c>
      <c r="C95" t="s">
        <v>9</v>
      </c>
      <c r="D95">
        <v>14</v>
      </c>
      <c r="E95">
        <f t="shared" si="1"/>
        <v>-14</v>
      </c>
    </row>
    <row r="96" spans="1:5" x14ac:dyDescent="0.3">
      <c r="A96" s="2">
        <v>45576</v>
      </c>
      <c r="B96" t="s">
        <v>2</v>
      </c>
      <c r="C96" t="s">
        <v>9</v>
      </c>
      <c r="D96">
        <v>18</v>
      </c>
      <c r="E96">
        <f t="shared" si="1"/>
        <v>-18</v>
      </c>
    </row>
    <row r="97" spans="1:5" x14ac:dyDescent="0.3">
      <c r="A97" s="2">
        <v>45578</v>
      </c>
      <c r="B97" t="s">
        <v>2</v>
      </c>
      <c r="C97" t="s">
        <v>8</v>
      </c>
      <c r="D97">
        <v>19</v>
      </c>
      <c r="E97">
        <f t="shared" si="1"/>
        <v>19</v>
      </c>
    </row>
    <row r="98" spans="1:5" x14ac:dyDescent="0.3">
      <c r="A98" s="2">
        <v>45582</v>
      </c>
      <c r="B98" t="s">
        <v>3</v>
      </c>
      <c r="C98" t="s">
        <v>9</v>
      </c>
      <c r="D98">
        <v>17</v>
      </c>
      <c r="E98">
        <f t="shared" si="1"/>
        <v>-17</v>
      </c>
    </row>
    <row r="99" spans="1:5" x14ac:dyDescent="0.3">
      <c r="A99" s="2">
        <v>45584</v>
      </c>
      <c r="B99" t="s">
        <v>3</v>
      </c>
      <c r="C99" t="s">
        <v>9</v>
      </c>
      <c r="D99">
        <v>18</v>
      </c>
      <c r="E99">
        <f t="shared" si="1"/>
        <v>-18</v>
      </c>
    </row>
    <row r="100" spans="1:5" x14ac:dyDescent="0.3">
      <c r="A100" s="2">
        <v>45585</v>
      </c>
      <c r="B100" t="s">
        <v>2</v>
      </c>
      <c r="C100" t="s">
        <v>9</v>
      </c>
      <c r="D100">
        <v>52</v>
      </c>
      <c r="E100">
        <f t="shared" si="1"/>
        <v>-52</v>
      </c>
    </row>
    <row r="101" spans="1:5" x14ac:dyDescent="0.3">
      <c r="A101" s="2">
        <v>45587</v>
      </c>
      <c r="B101" t="s">
        <v>3</v>
      </c>
      <c r="C101" t="s">
        <v>8</v>
      </c>
      <c r="D101">
        <v>28</v>
      </c>
      <c r="E101">
        <f t="shared" si="1"/>
        <v>28</v>
      </c>
    </row>
    <row r="102" spans="1:5" x14ac:dyDescent="0.3">
      <c r="A102" s="2">
        <v>45592</v>
      </c>
      <c r="B102" t="s">
        <v>4</v>
      </c>
      <c r="C102" t="s">
        <v>9</v>
      </c>
      <c r="D102">
        <v>42</v>
      </c>
      <c r="E102">
        <f t="shared" si="1"/>
        <v>-42</v>
      </c>
    </row>
    <row r="103" spans="1:5" x14ac:dyDescent="0.3">
      <c r="A103" s="2">
        <v>45596</v>
      </c>
      <c r="B103" t="s">
        <v>3</v>
      </c>
      <c r="C103" t="s">
        <v>8</v>
      </c>
      <c r="D103">
        <v>56</v>
      </c>
      <c r="E103">
        <f t="shared" si="1"/>
        <v>56</v>
      </c>
    </row>
    <row r="104" spans="1:5" x14ac:dyDescent="0.3">
      <c r="A104" s="2">
        <v>45598</v>
      </c>
      <c r="B104" t="s">
        <v>4</v>
      </c>
      <c r="C104" t="s">
        <v>8</v>
      </c>
      <c r="D104">
        <v>54</v>
      </c>
      <c r="E104">
        <f t="shared" si="1"/>
        <v>54</v>
      </c>
    </row>
    <row r="105" spans="1:5" x14ac:dyDescent="0.3">
      <c r="A105" s="2">
        <v>45602</v>
      </c>
      <c r="B105" t="s">
        <v>3</v>
      </c>
      <c r="C105" t="s">
        <v>8</v>
      </c>
      <c r="D105">
        <v>10</v>
      </c>
      <c r="E105">
        <f t="shared" si="1"/>
        <v>10</v>
      </c>
    </row>
    <row r="106" spans="1:5" x14ac:dyDescent="0.3">
      <c r="A106" s="2">
        <v>45604</v>
      </c>
      <c r="B106" t="s">
        <v>4</v>
      </c>
      <c r="C106" t="s">
        <v>9</v>
      </c>
      <c r="D106">
        <v>19</v>
      </c>
      <c r="E106">
        <f t="shared" si="1"/>
        <v>-19</v>
      </c>
    </row>
    <row r="107" spans="1:5" x14ac:dyDescent="0.3">
      <c r="A107" s="2">
        <v>45605</v>
      </c>
      <c r="B107" t="s">
        <v>3</v>
      </c>
      <c r="C107" t="s">
        <v>8</v>
      </c>
      <c r="D107">
        <v>32</v>
      </c>
      <c r="E107">
        <f t="shared" si="1"/>
        <v>32</v>
      </c>
    </row>
    <row r="108" spans="1:5" x14ac:dyDescent="0.3">
      <c r="A108" s="2">
        <v>45608</v>
      </c>
      <c r="B108" t="s">
        <v>2</v>
      </c>
      <c r="C108" t="s">
        <v>8</v>
      </c>
      <c r="D108">
        <v>42</v>
      </c>
      <c r="E108">
        <f t="shared" si="1"/>
        <v>42</v>
      </c>
    </row>
    <row r="109" spans="1:5" x14ac:dyDescent="0.3">
      <c r="A109" s="2">
        <v>45611</v>
      </c>
      <c r="B109" t="s">
        <v>2</v>
      </c>
      <c r="C109" t="s">
        <v>9</v>
      </c>
      <c r="D109">
        <v>13</v>
      </c>
      <c r="E109">
        <f t="shared" si="1"/>
        <v>-13</v>
      </c>
    </row>
    <row r="110" spans="1:5" x14ac:dyDescent="0.3">
      <c r="A110" s="2">
        <v>45615</v>
      </c>
      <c r="B110" t="s">
        <v>3</v>
      </c>
      <c r="C110" t="s">
        <v>9</v>
      </c>
      <c r="D110">
        <v>16</v>
      </c>
      <c r="E110">
        <f t="shared" si="1"/>
        <v>-16</v>
      </c>
    </row>
    <row r="111" spans="1:5" x14ac:dyDescent="0.3">
      <c r="A111" s="2">
        <v>45619</v>
      </c>
      <c r="B111" t="s">
        <v>4</v>
      </c>
      <c r="C111" t="s">
        <v>9</v>
      </c>
      <c r="D111">
        <v>24</v>
      </c>
      <c r="E111">
        <f t="shared" si="1"/>
        <v>-24</v>
      </c>
    </row>
    <row r="112" spans="1:5" x14ac:dyDescent="0.3">
      <c r="A112" s="2">
        <v>45624</v>
      </c>
      <c r="B112" t="s">
        <v>2</v>
      </c>
      <c r="C112" t="s">
        <v>8</v>
      </c>
      <c r="D112">
        <v>20</v>
      </c>
      <c r="E112">
        <f t="shared" si="1"/>
        <v>20</v>
      </c>
    </row>
    <row r="113" spans="1:5" x14ac:dyDescent="0.3">
      <c r="A113" s="2">
        <v>45625</v>
      </c>
      <c r="B113" t="s">
        <v>4</v>
      </c>
      <c r="C113" t="s">
        <v>8</v>
      </c>
      <c r="D113">
        <v>33</v>
      </c>
      <c r="E113">
        <f t="shared" si="1"/>
        <v>33</v>
      </c>
    </row>
    <row r="114" spans="1:5" x14ac:dyDescent="0.3">
      <c r="A114" s="2">
        <v>45627</v>
      </c>
      <c r="B114" t="s">
        <v>4</v>
      </c>
      <c r="C114" t="s">
        <v>8</v>
      </c>
      <c r="D114">
        <v>46</v>
      </c>
      <c r="E114">
        <f t="shared" si="1"/>
        <v>46</v>
      </c>
    </row>
    <row r="115" spans="1:5" x14ac:dyDescent="0.3">
      <c r="A115" s="2">
        <v>45628</v>
      </c>
      <c r="B115" t="s">
        <v>3</v>
      </c>
      <c r="C115" t="s">
        <v>8</v>
      </c>
      <c r="D115">
        <v>27</v>
      </c>
      <c r="E115">
        <f t="shared" si="1"/>
        <v>27</v>
      </c>
    </row>
    <row r="116" spans="1:5" x14ac:dyDescent="0.3">
      <c r="A116" s="2">
        <v>45631</v>
      </c>
      <c r="B116" t="s">
        <v>3</v>
      </c>
      <c r="C116" t="s">
        <v>9</v>
      </c>
      <c r="D116">
        <v>43</v>
      </c>
      <c r="E116">
        <f t="shared" si="1"/>
        <v>-43</v>
      </c>
    </row>
    <row r="117" spans="1:5" x14ac:dyDescent="0.3">
      <c r="A117" s="2">
        <v>45636</v>
      </c>
      <c r="B117" t="s">
        <v>2</v>
      </c>
      <c r="C117" t="s">
        <v>9</v>
      </c>
      <c r="D117">
        <v>50</v>
      </c>
      <c r="E117">
        <f t="shared" si="1"/>
        <v>-50</v>
      </c>
    </row>
    <row r="118" spans="1:5" x14ac:dyDescent="0.3">
      <c r="A118" s="2">
        <v>45638</v>
      </c>
      <c r="B118" t="s">
        <v>3</v>
      </c>
      <c r="C118" t="s">
        <v>9</v>
      </c>
      <c r="D118">
        <v>44</v>
      </c>
      <c r="E118">
        <f t="shared" si="1"/>
        <v>-44</v>
      </c>
    </row>
    <row r="119" spans="1:5" x14ac:dyDescent="0.3">
      <c r="A119" s="2">
        <v>45640</v>
      </c>
      <c r="B119" t="s">
        <v>3</v>
      </c>
      <c r="C119" t="s">
        <v>9</v>
      </c>
      <c r="D119">
        <v>15</v>
      </c>
      <c r="E119">
        <f t="shared" si="1"/>
        <v>-15</v>
      </c>
    </row>
    <row r="120" spans="1:5" x14ac:dyDescent="0.3">
      <c r="A120" s="2">
        <v>45641</v>
      </c>
      <c r="B120" t="s">
        <v>2</v>
      </c>
      <c r="C120" t="s">
        <v>9</v>
      </c>
      <c r="D120">
        <v>58</v>
      </c>
      <c r="E120">
        <f t="shared" si="1"/>
        <v>-58</v>
      </c>
    </row>
    <row r="121" spans="1:5" x14ac:dyDescent="0.3">
      <c r="A121" s="2">
        <v>45643</v>
      </c>
      <c r="B121" t="s">
        <v>4</v>
      </c>
      <c r="C121" t="s">
        <v>9</v>
      </c>
      <c r="D121">
        <v>39</v>
      </c>
      <c r="E121">
        <f t="shared" si="1"/>
        <v>-39</v>
      </c>
    </row>
    <row r="122" spans="1:5" x14ac:dyDescent="0.3">
      <c r="A122" s="2">
        <v>45644</v>
      </c>
      <c r="B122" t="s">
        <v>2</v>
      </c>
      <c r="C122" t="s">
        <v>8</v>
      </c>
      <c r="D122">
        <v>21</v>
      </c>
      <c r="E122">
        <f t="shared" si="1"/>
        <v>21</v>
      </c>
    </row>
    <row r="123" spans="1:5" x14ac:dyDescent="0.3">
      <c r="A123" s="2">
        <v>45645</v>
      </c>
      <c r="B123" t="s">
        <v>2</v>
      </c>
      <c r="C123" t="s">
        <v>8</v>
      </c>
      <c r="D123">
        <v>59</v>
      </c>
      <c r="E123">
        <f t="shared" si="1"/>
        <v>59</v>
      </c>
    </row>
    <row r="124" spans="1:5" x14ac:dyDescent="0.3">
      <c r="A124" s="2">
        <v>45648</v>
      </c>
      <c r="B124" t="s">
        <v>3</v>
      </c>
      <c r="C124" t="s">
        <v>9</v>
      </c>
      <c r="D124">
        <v>16</v>
      </c>
      <c r="E124">
        <f t="shared" si="1"/>
        <v>-16</v>
      </c>
    </row>
    <row r="125" spans="1:5" x14ac:dyDescent="0.3">
      <c r="A125" s="2">
        <v>45652</v>
      </c>
      <c r="B125" t="s">
        <v>2</v>
      </c>
      <c r="C125" t="s">
        <v>9</v>
      </c>
      <c r="D125">
        <v>26</v>
      </c>
      <c r="E125">
        <f t="shared" si="1"/>
        <v>-26</v>
      </c>
    </row>
    <row r="126" spans="1:5" x14ac:dyDescent="0.3">
      <c r="A126" s="2">
        <v>45656</v>
      </c>
      <c r="B126" t="s">
        <v>4</v>
      </c>
      <c r="C126" t="s">
        <v>8</v>
      </c>
      <c r="D126">
        <v>33</v>
      </c>
      <c r="E126">
        <f t="shared" si="1"/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>
      <selection activeCell="F7" sqref="F7"/>
    </sheetView>
  </sheetViews>
  <sheetFormatPr baseColWidth="10" defaultColWidth="8.88671875" defaultRowHeight="14.4" x14ac:dyDescent="0.3"/>
  <cols>
    <col min="1" max="1" width="15" bestFit="1" customWidth="1"/>
    <col min="2" max="2" width="15.5546875" bestFit="1" customWidth="1"/>
    <col min="3" max="3" width="16.88671875" bestFit="1" customWidth="1"/>
  </cols>
  <sheetData>
    <row r="1" spans="1:13" x14ac:dyDescent="0.3">
      <c r="A1" s="1" t="s">
        <v>0</v>
      </c>
      <c r="B1" s="1" t="s">
        <v>1</v>
      </c>
      <c r="C1" s="1" t="s">
        <v>10</v>
      </c>
    </row>
    <row r="2" spans="1:13" x14ac:dyDescent="0.3">
      <c r="A2" t="s">
        <v>2</v>
      </c>
      <c r="B2">
        <f>VLOOKUP(A2,'Inventaire Initial'!$A$2:$B$4,2,0)</f>
        <v>122</v>
      </c>
      <c r="C2">
        <f>B2+SUMIFS('Mouvements de Stock'!D:D,'Mouvements de Stock'!B:B,"=" &amp; 'Inventaire Actuel'!A2,'Mouvements de Stock'!C:C,"=Entrée")-SUMIFS('Mouvements de Stock'!D:D,'Mouvements de Stock'!B:B,"=" &amp; 'Inventaire Actuel'!A2,'Mouvements de Stock'!C:C,"=Sortie")</f>
        <v>35</v>
      </c>
      <c r="F2" t="s">
        <v>11</v>
      </c>
    </row>
    <row r="3" spans="1:13" x14ac:dyDescent="0.3">
      <c r="A3" t="s">
        <v>3</v>
      </c>
      <c r="B3">
        <f>VLOOKUP(A3,'Inventaire Initial'!$A$2:$B$4,2,0)</f>
        <v>153</v>
      </c>
      <c r="C3">
        <f>B3+SUMIFS('Mouvements de Stock'!D:D,'Mouvements de Stock'!B:B,"=" &amp; 'Inventaire Actuel'!A3,'Mouvements de Stock'!C:C,"=Entrée")-SUMIFS('Mouvements de Stock'!D:D,'Mouvements de Stock'!B:B,"=" &amp; 'Inventaire Actuel'!A3,'Mouvements de Stock'!C:C,"=Sortie")</f>
        <v>49</v>
      </c>
      <c r="F3" t="s">
        <v>15</v>
      </c>
    </row>
    <row r="4" spans="1:13" x14ac:dyDescent="0.3">
      <c r="A4" t="s">
        <v>4</v>
      </c>
      <c r="B4">
        <f>VLOOKUP(A4,'Inventaire Initial'!$A$2:$B$4,2,0)</f>
        <v>204</v>
      </c>
      <c r="C4">
        <f>B4+SUMIFS('Mouvements de Stock'!D:D,'Mouvements de Stock'!B:B,"=" &amp; 'Inventaire Actuel'!A4,'Mouvements de Stock'!C:C,"=Entrée")-SUMIFS('Mouvements de Stock'!D:D,'Mouvements de Stock'!B:B,"=" &amp; 'Inventaire Actuel'!A4,'Mouvements de Stock'!C:C,"=Sortie")</f>
        <v>348</v>
      </c>
      <c r="F4" t="s">
        <v>16</v>
      </c>
    </row>
    <row r="5" spans="1:13" x14ac:dyDescent="0.3">
      <c r="F5" t="s">
        <v>29</v>
      </c>
    </row>
    <row r="6" spans="1:13" x14ac:dyDescent="0.3">
      <c r="F6" t="s">
        <v>30</v>
      </c>
    </row>
    <row r="7" spans="1:13" x14ac:dyDescent="0.3">
      <c r="F7" t="s">
        <v>31</v>
      </c>
    </row>
    <row r="10" spans="1:13" ht="76.5" customHeight="1" x14ac:dyDescent="0.3">
      <c r="F10" s="7" t="s">
        <v>32</v>
      </c>
      <c r="G10" s="7"/>
      <c r="H10" s="7"/>
      <c r="I10" s="7"/>
      <c r="J10" s="7"/>
      <c r="K10" s="7"/>
      <c r="L10" s="7"/>
      <c r="M10" s="7"/>
    </row>
  </sheetData>
  <mergeCells count="1">
    <mergeCell ref="F10:M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Y15"/>
  <sheetViews>
    <sheetView workbookViewId="0">
      <selection activeCell="B15" sqref="B15"/>
    </sheetView>
  </sheetViews>
  <sheetFormatPr baseColWidth="10" defaultRowHeight="14.4" x14ac:dyDescent="0.3"/>
  <cols>
    <col min="1" max="1" width="21" bestFit="1" customWidth="1"/>
    <col min="2" max="2" width="23.88671875" bestFit="1" customWidth="1"/>
    <col min="3" max="3" width="5.5546875" bestFit="1" customWidth="1"/>
    <col min="4" max="4" width="9.44140625" bestFit="1" customWidth="1"/>
    <col min="5" max="5" width="5.5546875" bestFit="1" customWidth="1"/>
    <col min="6" max="6" width="9.44140625" bestFit="1" customWidth="1"/>
    <col min="7" max="7" width="5.5546875" bestFit="1" customWidth="1"/>
    <col min="8" max="8" width="9.44140625" bestFit="1" customWidth="1"/>
    <col min="9" max="9" width="5.5546875" bestFit="1" customWidth="1"/>
    <col min="10" max="10" width="9.44140625" bestFit="1" customWidth="1"/>
    <col min="11" max="11" width="5.5546875" bestFit="1" customWidth="1"/>
    <col min="12" max="12" width="9.44140625" bestFit="1" customWidth="1"/>
    <col min="13" max="13" width="5.5546875" bestFit="1" customWidth="1"/>
    <col min="14" max="14" width="9.44140625" bestFit="1" customWidth="1"/>
    <col min="15" max="15" width="5.5546875" bestFit="1" customWidth="1"/>
    <col min="16" max="16" width="9.44140625" bestFit="1" customWidth="1"/>
    <col min="17" max="17" width="5.5546875" bestFit="1" customWidth="1"/>
    <col min="18" max="18" width="9.44140625" bestFit="1" customWidth="1"/>
    <col min="19" max="19" width="5.5546875" bestFit="1" customWidth="1"/>
    <col min="20" max="20" width="9.44140625" bestFit="1" customWidth="1"/>
    <col min="21" max="21" width="5.5546875" bestFit="1" customWidth="1"/>
    <col min="22" max="22" width="9.44140625" bestFit="1" customWidth="1"/>
    <col min="23" max="23" width="5.5546875" bestFit="1" customWidth="1"/>
    <col min="24" max="24" width="9.44140625" bestFit="1" customWidth="1"/>
    <col min="25" max="25" width="5.5546875" bestFit="1" customWidth="1"/>
    <col min="26" max="26" width="18.88671875" bestFit="1" customWidth="1"/>
    <col min="27" max="27" width="5.5546875" bestFit="1" customWidth="1"/>
    <col min="28" max="28" width="18.88671875" bestFit="1" customWidth="1"/>
    <col min="29" max="29" width="5.5546875" bestFit="1" customWidth="1"/>
    <col min="30" max="30" width="6.33203125" bestFit="1" customWidth="1"/>
    <col min="31" max="31" width="5.5546875" bestFit="1" customWidth="1"/>
    <col min="32" max="32" width="6.88671875" bestFit="1" customWidth="1"/>
    <col min="33" max="33" width="6.5546875" bestFit="1" customWidth="1"/>
    <col min="34" max="34" width="5.6640625" bestFit="1" customWidth="1"/>
    <col min="35" max="35" width="6.33203125" bestFit="1" customWidth="1"/>
    <col min="36" max="36" width="6" bestFit="1" customWidth="1"/>
    <col min="37" max="37" width="10.5546875" bestFit="1" customWidth="1"/>
    <col min="38" max="60" width="10.6640625" bestFit="1" customWidth="1"/>
    <col min="61" max="61" width="11.109375" bestFit="1" customWidth="1"/>
    <col min="62" max="127" width="10.6640625" bestFit="1" customWidth="1"/>
    <col min="128" max="128" width="10.5546875" bestFit="1" customWidth="1"/>
  </cols>
  <sheetData>
    <row r="3" spans="1:25" x14ac:dyDescent="0.3">
      <c r="B3" s="3" t="s">
        <v>14</v>
      </c>
    </row>
    <row r="4" spans="1:25" x14ac:dyDescent="0.3">
      <c r="B4" t="s">
        <v>17</v>
      </c>
      <c r="D4" t="s">
        <v>18</v>
      </c>
      <c r="F4" t="s">
        <v>19</v>
      </c>
      <c r="H4" t="s">
        <v>20</v>
      </c>
      <c r="J4" t="s">
        <v>21</v>
      </c>
      <c r="L4" t="s">
        <v>22</v>
      </c>
      <c r="N4" t="s">
        <v>23</v>
      </c>
      <c r="P4" t="s">
        <v>24</v>
      </c>
      <c r="R4" t="s">
        <v>25</v>
      </c>
      <c r="T4" t="s">
        <v>26</v>
      </c>
      <c r="V4" t="s">
        <v>27</v>
      </c>
      <c r="X4" t="s">
        <v>28</v>
      </c>
    </row>
    <row r="5" spans="1:25" x14ac:dyDescent="0.3">
      <c r="A5" s="3" t="s">
        <v>12</v>
      </c>
      <c r="B5" t="s">
        <v>34</v>
      </c>
      <c r="C5" t="s">
        <v>33</v>
      </c>
      <c r="D5" t="s">
        <v>34</v>
      </c>
      <c r="E5" t="s">
        <v>33</v>
      </c>
      <c r="F5" t="s">
        <v>34</v>
      </c>
      <c r="G5" t="s">
        <v>33</v>
      </c>
      <c r="H5" t="s">
        <v>34</v>
      </c>
      <c r="I5" t="s">
        <v>33</v>
      </c>
      <c r="J5" t="s">
        <v>34</v>
      </c>
      <c r="K5" t="s">
        <v>33</v>
      </c>
      <c r="L5" t="s">
        <v>34</v>
      </c>
      <c r="M5" t="s">
        <v>33</v>
      </c>
      <c r="N5" t="s">
        <v>34</v>
      </c>
      <c r="O5" t="s">
        <v>33</v>
      </c>
      <c r="P5" t="s">
        <v>34</v>
      </c>
      <c r="Q5" t="s">
        <v>33</v>
      </c>
      <c r="R5" t="s">
        <v>34</v>
      </c>
      <c r="S5" t="s">
        <v>33</v>
      </c>
      <c r="T5" t="s">
        <v>34</v>
      </c>
      <c r="U5" t="s">
        <v>33</v>
      </c>
      <c r="V5" t="s">
        <v>34</v>
      </c>
      <c r="W5" t="s">
        <v>33</v>
      </c>
      <c r="X5" t="s">
        <v>34</v>
      </c>
      <c r="Y5" t="s">
        <v>33</v>
      </c>
    </row>
    <row r="6" spans="1:25" x14ac:dyDescent="0.3">
      <c r="A6" s="4" t="s">
        <v>2</v>
      </c>
    </row>
    <row r="7" spans="1:25" x14ac:dyDescent="0.3">
      <c r="A7" s="5" t="s">
        <v>8</v>
      </c>
      <c r="C7">
        <v>-132</v>
      </c>
      <c r="D7">
        <v>148</v>
      </c>
      <c r="E7">
        <v>148</v>
      </c>
      <c r="F7">
        <v>111</v>
      </c>
      <c r="G7">
        <v>61</v>
      </c>
      <c r="H7">
        <v>19</v>
      </c>
      <c r="I7">
        <v>-65</v>
      </c>
      <c r="J7">
        <v>80</v>
      </c>
      <c r="K7">
        <v>32</v>
      </c>
      <c r="L7">
        <v>10</v>
      </c>
      <c r="M7">
        <v>-43</v>
      </c>
      <c r="N7">
        <v>95</v>
      </c>
      <c r="O7">
        <v>95</v>
      </c>
      <c r="Q7">
        <v>-41</v>
      </c>
      <c r="R7">
        <v>35</v>
      </c>
      <c r="S7">
        <v>-72</v>
      </c>
      <c r="T7">
        <v>19</v>
      </c>
      <c r="U7">
        <v>-65</v>
      </c>
      <c r="V7">
        <v>62</v>
      </c>
      <c r="W7">
        <v>49</v>
      </c>
      <c r="X7">
        <v>80</v>
      </c>
      <c r="Y7">
        <v>-54</v>
      </c>
    </row>
    <row r="8" spans="1:25" x14ac:dyDescent="0.3">
      <c r="A8" s="5" t="s">
        <v>9</v>
      </c>
      <c r="B8">
        <v>132</v>
      </c>
      <c r="F8">
        <v>50</v>
      </c>
      <c r="H8">
        <v>84</v>
      </c>
      <c r="J8">
        <v>48</v>
      </c>
      <c r="L8">
        <v>53</v>
      </c>
      <c r="P8">
        <v>41</v>
      </c>
      <c r="R8">
        <v>107</v>
      </c>
      <c r="T8">
        <v>84</v>
      </c>
      <c r="V8">
        <v>13</v>
      </c>
      <c r="X8">
        <v>134</v>
      </c>
    </row>
    <row r="9" spans="1:25" x14ac:dyDescent="0.3">
      <c r="A9" s="4" t="s">
        <v>3</v>
      </c>
    </row>
    <row r="10" spans="1:25" x14ac:dyDescent="0.3">
      <c r="A10" s="5" t="s">
        <v>8</v>
      </c>
      <c r="B10">
        <v>78</v>
      </c>
      <c r="C10">
        <v>33</v>
      </c>
      <c r="E10">
        <v>-262</v>
      </c>
      <c r="F10">
        <v>51</v>
      </c>
      <c r="G10">
        <v>51</v>
      </c>
      <c r="H10">
        <v>137</v>
      </c>
      <c r="I10">
        <v>137</v>
      </c>
      <c r="K10">
        <v>-21</v>
      </c>
      <c r="L10">
        <v>101</v>
      </c>
      <c r="M10">
        <v>101</v>
      </c>
      <c r="N10">
        <v>144</v>
      </c>
      <c r="O10">
        <v>85</v>
      </c>
      <c r="Q10">
        <v>-161</v>
      </c>
      <c r="R10">
        <v>12</v>
      </c>
      <c r="S10">
        <v>-32</v>
      </c>
      <c r="T10">
        <v>84</v>
      </c>
      <c r="U10">
        <v>30</v>
      </c>
      <c r="V10">
        <v>42</v>
      </c>
      <c r="W10">
        <v>26</v>
      </c>
      <c r="X10">
        <v>27</v>
      </c>
      <c r="Y10">
        <v>-91</v>
      </c>
    </row>
    <row r="11" spans="1:25" x14ac:dyDescent="0.3">
      <c r="A11" s="5" t="s">
        <v>9</v>
      </c>
      <c r="B11">
        <v>45</v>
      </c>
      <c r="D11">
        <v>262</v>
      </c>
      <c r="J11">
        <v>21</v>
      </c>
      <c r="N11">
        <v>59</v>
      </c>
      <c r="P11">
        <v>161</v>
      </c>
      <c r="R11">
        <v>44</v>
      </c>
      <c r="T11">
        <v>54</v>
      </c>
      <c r="V11">
        <v>16</v>
      </c>
      <c r="X11">
        <v>118</v>
      </c>
    </row>
    <row r="12" spans="1:25" x14ac:dyDescent="0.3">
      <c r="A12" s="4" t="s">
        <v>4</v>
      </c>
    </row>
    <row r="13" spans="1:25" x14ac:dyDescent="0.3">
      <c r="A13" s="5" t="s">
        <v>8</v>
      </c>
      <c r="B13">
        <v>114</v>
      </c>
      <c r="C13">
        <v>89</v>
      </c>
      <c r="D13">
        <v>19</v>
      </c>
      <c r="E13">
        <v>-33</v>
      </c>
      <c r="F13">
        <v>67</v>
      </c>
      <c r="G13">
        <v>-6</v>
      </c>
      <c r="H13">
        <v>45</v>
      </c>
      <c r="I13">
        <v>-6</v>
      </c>
      <c r="J13">
        <v>174</v>
      </c>
      <c r="K13">
        <v>113</v>
      </c>
      <c r="L13">
        <v>80</v>
      </c>
      <c r="M13">
        <v>69</v>
      </c>
      <c r="O13">
        <v>-32</v>
      </c>
      <c r="P13">
        <v>94</v>
      </c>
      <c r="Q13">
        <v>31</v>
      </c>
      <c r="R13">
        <v>17</v>
      </c>
      <c r="S13">
        <v>-73</v>
      </c>
      <c r="U13">
        <v>-92</v>
      </c>
      <c r="V13">
        <v>87</v>
      </c>
      <c r="W13">
        <v>44</v>
      </c>
      <c r="X13">
        <v>79</v>
      </c>
      <c r="Y13">
        <v>40</v>
      </c>
    </row>
    <row r="14" spans="1:25" x14ac:dyDescent="0.3">
      <c r="A14" s="5" t="s">
        <v>9</v>
      </c>
      <c r="B14">
        <v>25</v>
      </c>
      <c r="D14">
        <v>52</v>
      </c>
      <c r="F14">
        <v>73</v>
      </c>
      <c r="H14">
        <v>51</v>
      </c>
      <c r="J14">
        <v>61</v>
      </c>
      <c r="L14">
        <v>11</v>
      </c>
      <c r="N14">
        <v>32</v>
      </c>
      <c r="P14">
        <v>63</v>
      </c>
      <c r="R14">
        <v>90</v>
      </c>
      <c r="T14">
        <v>92</v>
      </c>
      <c r="V14">
        <v>43</v>
      </c>
      <c r="X14">
        <v>39</v>
      </c>
    </row>
    <row r="15" spans="1:25" x14ac:dyDescent="0.3">
      <c r="A15" s="4" t="s">
        <v>13</v>
      </c>
      <c r="B15">
        <v>394</v>
      </c>
      <c r="D15">
        <v>481</v>
      </c>
      <c r="F15">
        <v>352</v>
      </c>
      <c r="H15">
        <v>336</v>
      </c>
      <c r="J15">
        <v>384</v>
      </c>
      <c r="L15">
        <v>255</v>
      </c>
      <c r="N15">
        <v>330</v>
      </c>
      <c r="P15">
        <v>359</v>
      </c>
      <c r="R15">
        <v>305</v>
      </c>
      <c r="T15">
        <v>333</v>
      </c>
      <c r="V15">
        <v>263</v>
      </c>
      <c r="X15">
        <v>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M14"/>
  <sheetViews>
    <sheetView workbookViewId="0">
      <selection activeCell="B14" sqref="B14"/>
    </sheetView>
  </sheetViews>
  <sheetFormatPr baseColWidth="10" defaultRowHeight="14.4" x14ac:dyDescent="0.3"/>
  <cols>
    <col min="1" max="1" width="25" bestFit="1" customWidth="1"/>
    <col min="2" max="2" width="23.88671875" bestFit="1" customWidth="1"/>
    <col min="3" max="3" width="4.6640625" customWidth="1"/>
    <col min="4" max="4" width="5.33203125" customWidth="1"/>
    <col min="5" max="5" width="4" customWidth="1"/>
    <col min="6" max="6" width="4.33203125" customWidth="1"/>
    <col min="7" max="7" width="4.44140625" customWidth="1"/>
    <col min="8" max="8" width="4" customWidth="1"/>
    <col min="9" max="9" width="5" customWidth="1"/>
    <col min="10" max="10" width="4.88671875" customWidth="1"/>
    <col min="11" max="11" width="4.6640625" customWidth="1"/>
    <col min="12" max="12" width="4.33203125" customWidth="1"/>
    <col min="13" max="13" width="4.6640625" customWidth="1"/>
    <col min="14" max="14" width="9.44140625" bestFit="1" customWidth="1"/>
    <col min="15" max="15" width="5.5546875" bestFit="1" customWidth="1"/>
    <col min="16" max="16" width="9.44140625" bestFit="1" customWidth="1"/>
    <col min="17" max="17" width="5.5546875" bestFit="1" customWidth="1"/>
    <col min="18" max="18" width="9.44140625" bestFit="1" customWidth="1"/>
    <col min="19" max="19" width="5.5546875" bestFit="1" customWidth="1"/>
    <col min="20" max="20" width="9.44140625" bestFit="1" customWidth="1"/>
    <col min="21" max="21" width="5.5546875" bestFit="1" customWidth="1"/>
    <col min="22" max="22" width="9.44140625" bestFit="1" customWidth="1"/>
    <col min="23" max="23" width="5.5546875" bestFit="1" customWidth="1"/>
    <col min="24" max="24" width="9.44140625" bestFit="1" customWidth="1"/>
    <col min="25" max="25" width="5.5546875" bestFit="1" customWidth="1"/>
    <col min="26" max="26" width="18.88671875" bestFit="1" customWidth="1"/>
    <col min="27" max="27" width="5.5546875" bestFit="1" customWidth="1"/>
    <col min="28" max="28" width="18.88671875" bestFit="1" customWidth="1"/>
    <col min="29" max="29" width="5.5546875" bestFit="1" customWidth="1"/>
    <col min="30" max="30" width="6.33203125" bestFit="1" customWidth="1"/>
    <col min="31" max="31" width="5.5546875" bestFit="1" customWidth="1"/>
    <col min="32" max="32" width="6.88671875" bestFit="1" customWidth="1"/>
    <col min="33" max="33" width="6.5546875" bestFit="1" customWidth="1"/>
    <col min="34" max="34" width="5.6640625" bestFit="1" customWidth="1"/>
    <col min="35" max="35" width="6.33203125" bestFit="1" customWidth="1"/>
    <col min="36" max="36" width="6" bestFit="1" customWidth="1"/>
    <col min="37" max="37" width="10.5546875" bestFit="1" customWidth="1"/>
    <col min="38" max="60" width="10.6640625" bestFit="1" customWidth="1"/>
    <col min="61" max="61" width="11.109375" bestFit="1" customWidth="1"/>
    <col min="62" max="127" width="10.6640625" bestFit="1" customWidth="1"/>
    <col min="128" max="128" width="10.5546875" bestFit="1" customWidth="1"/>
  </cols>
  <sheetData>
    <row r="3" spans="1:13" x14ac:dyDescent="0.3">
      <c r="A3" s="3" t="s">
        <v>36</v>
      </c>
      <c r="B3" s="3" t="s">
        <v>14</v>
      </c>
    </row>
    <row r="4" spans="1:13" x14ac:dyDescent="0.3">
      <c r="A4" s="3" t="s">
        <v>12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</row>
    <row r="5" spans="1:13" x14ac:dyDescent="0.3">
      <c r="A5" s="4" t="s">
        <v>2</v>
      </c>
      <c r="B5">
        <v>-132</v>
      </c>
      <c r="C5">
        <v>148</v>
      </c>
      <c r="D5">
        <v>61</v>
      </c>
      <c r="E5">
        <v>-65</v>
      </c>
      <c r="F5">
        <v>32</v>
      </c>
      <c r="G5">
        <v>-43</v>
      </c>
      <c r="H5">
        <v>95</v>
      </c>
      <c r="I5">
        <v>-41</v>
      </c>
      <c r="J5">
        <v>-72</v>
      </c>
      <c r="K5">
        <v>-65</v>
      </c>
      <c r="L5">
        <v>49</v>
      </c>
      <c r="M5">
        <v>-54</v>
      </c>
    </row>
    <row r="6" spans="1:13" x14ac:dyDescent="0.3">
      <c r="A6" s="5" t="s">
        <v>8</v>
      </c>
      <c r="C6">
        <v>148</v>
      </c>
      <c r="D6">
        <v>111</v>
      </c>
      <c r="E6">
        <v>19</v>
      </c>
      <c r="F6">
        <v>80</v>
      </c>
      <c r="G6">
        <v>10</v>
      </c>
      <c r="H6">
        <v>95</v>
      </c>
      <c r="J6">
        <v>35</v>
      </c>
      <c r="K6">
        <v>19</v>
      </c>
      <c r="L6">
        <v>62</v>
      </c>
      <c r="M6">
        <v>80</v>
      </c>
    </row>
    <row r="7" spans="1:13" x14ac:dyDescent="0.3">
      <c r="A7" s="5" t="s">
        <v>9</v>
      </c>
      <c r="B7">
        <v>-132</v>
      </c>
      <c r="D7">
        <v>-50</v>
      </c>
      <c r="E7">
        <v>-84</v>
      </c>
      <c r="F7">
        <v>-48</v>
      </c>
      <c r="G7">
        <v>-53</v>
      </c>
      <c r="I7">
        <v>-41</v>
      </c>
      <c r="J7">
        <v>-107</v>
      </c>
      <c r="K7">
        <v>-84</v>
      </c>
      <c r="L7">
        <v>-13</v>
      </c>
      <c r="M7">
        <v>-134</v>
      </c>
    </row>
    <row r="8" spans="1:13" x14ac:dyDescent="0.3">
      <c r="A8" s="4" t="s">
        <v>3</v>
      </c>
      <c r="B8">
        <v>33</v>
      </c>
      <c r="C8">
        <v>-262</v>
      </c>
      <c r="D8">
        <v>51</v>
      </c>
      <c r="E8">
        <v>137</v>
      </c>
      <c r="F8">
        <v>-21</v>
      </c>
      <c r="G8">
        <v>101</v>
      </c>
      <c r="H8">
        <v>85</v>
      </c>
      <c r="I8">
        <v>-161</v>
      </c>
      <c r="J8">
        <v>-32</v>
      </c>
      <c r="K8">
        <v>30</v>
      </c>
      <c r="L8">
        <v>26</v>
      </c>
      <c r="M8">
        <v>-91</v>
      </c>
    </row>
    <row r="9" spans="1:13" x14ac:dyDescent="0.3">
      <c r="A9" s="5" t="s">
        <v>8</v>
      </c>
      <c r="B9">
        <v>78</v>
      </c>
      <c r="D9">
        <v>51</v>
      </c>
      <c r="E9">
        <v>137</v>
      </c>
      <c r="G9">
        <v>101</v>
      </c>
      <c r="H9">
        <v>144</v>
      </c>
      <c r="J9">
        <v>12</v>
      </c>
      <c r="K9">
        <v>84</v>
      </c>
      <c r="L9">
        <v>42</v>
      </c>
      <c r="M9">
        <v>27</v>
      </c>
    </row>
    <row r="10" spans="1:13" x14ac:dyDescent="0.3">
      <c r="A10" s="5" t="s">
        <v>9</v>
      </c>
      <c r="B10">
        <v>-45</v>
      </c>
      <c r="C10">
        <v>-262</v>
      </c>
      <c r="F10">
        <v>-21</v>
      </c>
      <c r="H10">
        <v>-59</v>
      </c>
      <c r="I10">
        <v>-161</v>
      </c>
      <c r="J10">
        <v>-44</v>
      </c>
      <c r="K10">
        <v>-54</v>
      </c>
      <c r="L10">
        <v>-16</v>
      </c>
      <c r="M10">
        <v>-118</v>
      </c>
    </row>
    <row r="11" spans="1:13" x14ac:dyDescent="0.3">
      <c r="A11" s="4" t="s">
        <v>4</v>
      </c>
      <c r="B11">
        <v>89</v>
      </c>
      <c r="C11">
        <v>-33</v>
      </c>
      <c r="D11">
        <v>-6</v>
      </c>
      <c r="E11">
        <v>-6</v>
      </c>
      <c r="F11">
        <v>113</v>
      </c>
      <c r="G11">
        <v>69</v>
      </c>
      <c r="H11">
        <v>-32</v>
      </c>
      <c r="I11">
        <v>31</v>
      </c>
      <c r="J11">
        <v>-73</v>
      </c>
      <c r="K11">
        <v>-92</v>
      </c>
      <c r="L11">
        <v>44</v>
      </c>
      <c r="M11">
        <v>40</v>
      </c>
    </row>
    <row r="12" spans="1:13" x14ac:dyDescent="0.3">
      <c r="A12" s="5" t="s">
        <v>8</v>
      </c>
      <c r="B12">
        <v>114</v>
      </c>
      <c r="C12">
        <v>19</v>
      </c>
      <c r="D12">
        <v>67</v>
      </c>
      <c r="E12">
        <v>45</v>
      </c>
      <c r="F12">
        <v>174</v>
      </c>
      <c r="G12">
        <v>80</v>
      </c>
      <c r="I12">
        <v>94</v>
      </c>
      <c r="J12">
        <v>17</v>
      </c>
      <c r="L12">
        <v>87</v>
      </c>
      <c r="M12">
        <v>79</v>
      </c>
    </row>
    <row r="13" spans="1:13" x14ac:dyDescent="0.3">
      <c r="A13" s="5" t="s">
        <v>9</v>
      </c>
      <c r="B13">
        <v>-25</v>
      </c>
      <c r="C13">
        <v>-52</v>
      </c>
      <c r="D13">
        <v>-73</v>
      </c>
      <c r="E13">
        <v>-51</v>
      </c>
      <c r="F13">
        <v>-61</v>
      </c>
      <c r="G13">
        <v>-11</v>
      </c>
      <c r="H13">
        <v>-32</v>
      </c>
      <c r="I13">
        <v>-63</v>
      </c>
      <c r="J13">
        <v>-90</v>
      </c>
      <c r="K13">
        <v>-92</v>
      </c>
      <c r="L13">
        <v>-43</v>
      </c>
      <c r="M13">
        <v>-39</v>
      </c>
    </row>
    <row r="14" spans="1:13" x14ac:dyDescent="0.3">
      <c r="A14" s="4" t="s">
        <v>13</v>
      </c>
      <c r="B14">
        <v>-10</v>
      </c>
      <c r="C14">
        <v>-147</v>
      </c>
      <c r="D14">
        <v>106</v>
      </c>
      <c r="E14">
        <v>66</v>
      </c>
      <c r="F14">
        <v>124</v>
      </c>
      <c r="G14">
        <v>127</v>
      </c>
      <c r="H14">
        <v>148</v>
      </c>
      <c r="I14">
        <v>-171</v>
      </c>
      <c r="J14">
        <v>-177</v>
      </c>
      <c r="K14">
        <v>-127</v>
      </c>
      <c r="L14">
        <v>119</v>
      </c>
      <c r="M14">
        <v>-105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Inventaire Initial</vt:lpstr>
      <vt:lpstr>Feuil1</vt:lpstr>
      <vt:lpstr>Mouvements de Stock</vt:lpstr>
      <vt:lpstr>Inventaire Actuel</vt:lpstr>
      <vt:lpstr>TCD</vt:lpstr>
      <vt:lpstr>TCD signée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Poix Martine</cp:lastModifiedBy>
  <dcterms:created xsi:type="dcterms:W3CDTF">2024-06-17T12:47:28Z</dcterms:created>
  <dcterms:modified xsi:type="dcterms:W3CDTF">2025-11-17T14:49:21Z</dcterms:modified>
</cp:coreProperties>
</file>